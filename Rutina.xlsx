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s" sheetId="1" r:id="rId5"/>
    <sheet state="visible" name="Pliometria" sheetId="2" r:id="rId6"/>
    <sheet state="visible" name="Calculos" sheetId="3" r:id="rId7"/>
    <sheet state="visible" name="Ref" sheetId="4" r:id="rId8"/>
    <sheet state="visible" name="Entrenamiento" sheetId="5" r:id="rId9"/>
    <sheet state="visible" name="Programacion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POR NIVEL:
Principiante/intermedio  → 150 a 250 reps por microciclo
Avanzado                           → 250 a 400 reps por microciclo
Elite                                     → 400 a 600 reps por microciclo
POR EJERCICIO
Ejercicios técnicamente complejos    → menos volumen
(arranque, envión, tirón)                        → 150 a 300 reps
Ejercicios más simples                          → más volumen
(sentadilla, press, peso muerto)          → 200 a 400 reps
</t>
      </text>
    </comment>
    <comment authorId="0" ref="I7">
      <text>
        <t xml:space="preserve">Valores entre el 60% y 76.5%</t>
      </text>
    </comment>
    <comment authorId="0" ref="I2">
      <text>
        <t xml:space="preserve">Ver bien la cantidad de variantes con la cantidad de mesociclos si pone un  conjunto invalido, los datos eran erroneos
</t>
      </text>
    </comment>
    <comment authorId="0" ref="I13">
      <text>
        <t xml:space="preserve">POR NIVEL:
Principiante/intermedio  → 150 a 250 reps por mesociclo
Avanzado                           → 250 a 400 reps por mesociclo
Elite                                     → 400 a 600 reps por mesociclo
POR EJERCICIO
Ejercicios técnicamente complejos    → menos volumen
(arranque, envión, tirón)                        → 150 a 300 reps
Ejercicios más simples                          → más volumen
(sentadilla, press, peso muerto)          → 200 a 400 reps</t>
      </text>
    </comment>
    <comment authorId="0" ref="I12">
      <text>
        <t xml:space="preserve">Valores entre el 60% y 80%</t>
      </text>
    </comment>
  </commentList>
</comments>
</file>

<file path=xl/sharedStrings.xml><?xml version="1.0" encoding="utf-8"?>
<sst xmlns="http://schemas.openxmlformats.org/spreadsheetml/2006/main" count="382" uniqueCount="169">
  <si>
    <t>Ejercicio</t>
  </si>
  <si>
    <t>NIVEL 1 A</t>
  </si>
  <si>
    <t>1 RM (1er fase)</t>
  </si>
  <si>
    <t>Objetivo</t>
  </si>
  <si>
    <t xml:space="preserve"> Con 2 pies, dos saltos delante y uno atras</t>
  </si>
  <si>
    <t>2 pies salto de costado</t>
  </si>
  <si>
    <t>1 pie, en el lugar, salto adelante y atras</t>
  </si>
  <si>
    <t>1 pie, en sentido del reloj, arrancando del centro para adelante, saltar y volver siempre al centro</t>
  </si>
  <si>
    <t>1 pie, salto en el lugar a los costados</t>
  </si>
  <si>
    <t>Salto con soga</t>
  </si>
  <si>
    <t>Arranque de potencia colgado</t>
  </si>
  <si>
    <t>TABLA DE PORCENTAJES</t>
  </si>
  <si>
    <t>IMR %</t>
  </si>
  <si>
    <t>NIVEL 1 B</t>
  </si>
  <si>
    <t>1 pie en cada cajon y salto rapido en el lugar</t>
  </si>
  <si>
    <t>Cargada de potencia colgado</t>
  </si>
  <si>
    <t>Pie de adelante en cajon y salto con el de atras</t>
  </si>
  <si>
    <t>Microciclos y variante</t>
  </si>
  <si>
    <t>Pie de atras en cajón, con el de delante salto a los costados sobre obstaculo bajo</t>
  </si>
  <si>
    <t>Del piso, subo el pie delantero al cajon (pie de atras en el piso)</t>
  </si>
  <si>
    <t>Del centro a cajones con una pierna</t>
  </si>
  <si>
    <t>Del centro con ambas piernas, rotando piernas delantera a cajon</t>
  </si>
  <si>
    <t>Mic1 Vol%</t>
  </si>
  <si>
    <t>NIVEL 1 C</t>
  </si>
  <si>
    <t>Del centro, al costado, al centro, al otro costado, centro, adelante, atras [2]</t>
  </si>
  <si>
    <t>Delante dos veces, vuelvo de costado izquierdo y luego derecho [3]</t>
  </si>
  <si>
    <t>Lado a lado salto sobre cajon [2]</t>
  </si>
  <si>
    <t>Mic2 Vol%</t>
  </si>
  <si>
    <t>% PESO</t>
  </si>
  <si>
    <t>1 pie delante al cajón, bajo, izquierda y derecha, subo [1]</t>
  </si>
  <si>
    <t>Entre 2 cajones, del centro, izquierda centro derecha [1]</t>
  </si>
  <si>
    <t>Mic3 Vol%</t>
  </si>
  <si>
    <t>1 pie salto al cajon, caigo al piso, izquierda centro derecha, atras al cajon, caigo, izquierda centro derecha y repito [1]</t>
  </si>
  <si>
    <t>Mic4 Vol%</t>
  </si>
  <si>
    <t>Mic5 Vol%</t>
  </si>
  <si>
    <t>Mic1 IMR</t>
  </si>
  <si>
    <t>Mic2 IMR</t>
  </si>
  <si>
    <t>Mic3 IMR</t>
  </si>
  <si>
    <t>NIVEL 2 A</t>
  </si>
  <si>
    <t>Mic4 IMR</t>
  </si>
  <si>
    <t>Arranque de potencia</t>
  </si>
  <si>
    <t>Mic5 IMR</t>
  </si>
  <si>
    <t>Cargada de potencia</t>
  </si>
  <si>
    <t>5A</t>
  </si>
  <si>
    <t>REPETICIONES %</t>
  </si>
  <si>
    <t>NIVEL 2 B</t>
  </si>
  <si>
    <t>Arranque de colgado</t>
  </si>
  <si>
    <t>NIVEL 2 C</t>
  </si>
  <si>
    <t>Cargada de colgado</t>
  </si>
  <si>
    <t>NIVEL 3 A</t>
  </si>
  <si>
    <t>5B</t>
  </si>
  <si>
    <t>Arranque</t>
  </si>
  <si>
    <t>Cargada</t>
  </si>
  <si>
    <t>NIVEL 3 B</t>
  </si>
  <si>
    <t>4A</t>
  </si>
  <si>
    <t>Sentadilla</t>
  </si>
  <si>
    <t>Sentadila frontal</t>
  </si>
  <si>
    <t>4B</t>
  </si>
  <si>
    <t>NIVEL 3 C</t>
  </si>
  <si>
    <t>Press frontal con impulso</t>
  </si>
  <si>
    <t>4C</t>
  </si>
  <si>
    <t>Press frontal</t>
  </si>
  <si>
    <t>3A</t>
  </si>
  <si>
    <t>Empuje de barra</t>
  </si>
  <si>
    <t>Press con manuerna arrodillado</t>
  </si>
  <si>
    <t>3B</t>
  </si>
  <si>
    <t>3C</t>
  </si>
  <si>
    <t>Empuje con mancuerna</t>
  </si>
  <si>
    <t>Press banco plano</t>
  </si>
  <si>
    <t>2A</t>
  </si>
  <si>
    <t>Press banco plano con mancuerna</t>
  </si>
  <si>
    <t>Press banco inclinado</t>
  </si>
  <si>
    <t>2B</t>
  </si>
  <si>
    <t>Press banco inclinado con mancuerna</t>
  </si>
  <si>
    <t>Frecuencia porcentual</t>
  </si>
  <si>
    <t>Día 1</t>
  </si>
  <si>
    <t>Día 2</t>
  </si>
  <si>
    <t>Día 3</t>
  </si>
  <si>
    <t>Día 4</t>
  </si>
  <si>
    <t>Día 5</t>
  </si>
  <si>
    <t xml:space="preserve">Fondos </t>
  </si>
  <si>
    <t>Dominadas prono</t>
  </si>
  <si>
    <t>Dominadas supina</t>
  </si>
  <si>
    <t>NIVEL 1</t>
  </si>
  <si>
    <t>Remo acostado</t>
  </si>
  <si>
    <t>TOTAL</t>
  </si>
  <si>
    <t>Remo inclinado</t>
  </si>
  <si>
    <t>Repeticiones</t>
  </si>
  <si>
    <t>Volumen</t>
  </si>
  <si>
    <t>Remo con mancuerna</t>
  </si>
  <si>
    <t>%IMR</t>
  </si>
  <si>
    <t>Biceps con barra w</t>
  </si>
  <si>
    <t>Rep. Microciclo</t>
  </si>
  <si>
    <t>Biceps con mancuerna</t>
  </si>
  <si>
    <t>Triceps tras nuca</t>
  </si>
  <si>
    <t>Triceps frontal</t>
  </si>
  <si>
    <t>Tiron de cargada</t>
  </si>
  <si>
    <t>&lt;70%</t>
  </si>
  <si>
    <t>18-30</t>
  </si>
  <si>
    <t>Tiron de arranque</t>
  </si>
  <si>
    <t>70%-79%</t>
  </si>
  <si>
    <t>Bulgaras (mancuerna)</t>
  </si>
  <si>
    <t>80%-89%</t>
  </si>
  <si>
    <t>&gt;90%</t>
  </si>
  <si>
    <t>NIVEL 2</t>
  </si>
  <si>
    <t>Dia 1</t>
  </si>
  <si>
    <t>Dia 2</t>
  </si>
  <si>
    <t>Series de</t>
  </si>
  <si>
    <t>Lumbares en banco-Twist sovietico-Elevacion de piernas-Piernas a 90ª a cada lado-Plancha con pelota-Puente con pelota</t>
  </si>
  <si>
    <t>NIVEL 3</t>
  </si>
  <si>
    <t>CALENTAMIENTO</t>
  </si>
  <si>
    <t>Lumbares en banco-Twist sovietico-Trimado</t>
  </si>
  <si>
    <t>MICROCICLO 1</t>
  </si>
  <si>
    <t>MICROCICLO 2</t>
  </si>
  <si>
    <t>MICROCICLO 3</t>
  </si>
  <si>
    <t>MICROCICLO 4</t>
  </si>
  <si>
    <t>MICROCICLO 5</t>
  </si>
  <si>
    <t>PARAMETROS DEL MESOCICLO</t>
  </si>
  <si>
    <t>FECHAS</t>
  </si>
  <si>
    <t>MESES</t>
  </si>
  <si>
    <t>MICROCICLO</t>
  </si>
  <si>
    <t>MESOCICLO</t>
  </si>
  <si>
    <t>VOLUMEN</t>
  </si>
  <si>
    <t>INTENSIDAD</t>
  </si>
  <si>
    <t>VARIACION</t>
  </si>
  <si>
    <t>Potencia</t>
  </si>
  <si>
    <t>KG</t>
  </si>
  <si>
    <t>DIA 1</t>
  </si>
  <si>
    <t>SENTADILLAS TRAS NUCA</t>
  </si>
  <si>
    <t>DIA 2</t>
  </si>
  <si>
    <t>DIA 3</t>
  </si>
  <si>
    <t>Cantidad de miclociclos</t>
  </si>
  <si>
    <t>DIA 4</t>
  </si>
  <si>
    <t>DIA 5</t>
  </si>
  <si>
    <t>ENERO</t>
  </si>
  <si>
    <t>SENTADILLA FRONTAL</t>
  </si>
  <si>
    <t>Variante</t>
  </si>
  <si>
    <t>A</t>
  </si>
  <si>
    <t>TIRÓN DE CARGADA</t>
  </si>
  <si>
    <t>Cantidad de días por microciclo</t>
  </si>
  <si>
    <t>CARGADAS DE COLGADO</t>
  </si>
  <si>
    <t>ARRANQUES DE COLGADO</t>
  </si>
  <si>
    <t xml:space="preserve">FUERZA/ POTENCIA </t>
  </si>
  <si>
    <t>FEBRERO</t>
  </si>
  <si>
    <t>PRESS PLANO</t>
  </si>
  <si>
    <t>PRESS FRONTAL</t>
  </si>
  <si>
    <t>Volumen total (repeticiones)</t>
  </si>
  <si>
    <t>DOMINADA SUPINA</t>
  </si>
  <si>
    <t>Maximo (KG)</t>
  </si>
  <si>
    <t>DOMINADA PRONADA</t>
  </si>
  <si>
    <t>MARZO</t>
  </si>
  <si>
    <t>Fuerza</t>
  </si>
  <si>
    <t>Maximo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</si>
  <si>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</si>
  <si>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</si>
  <si>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</si>
  <si>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</si>
  <si>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</si>
  <si>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</si>
  <si>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</si>
  <si>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</si>
  <si>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</si>
  <si>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6.6.6</t>
  </si>
  <si>
    <t>4.4.4</t>
  </si>
  <si>
    <t>5.5.5</t>
  </si>
  <si>
    <t>3.3.3</t>
  </si>
  <si>
    <t>8.8.8</t>
  </si>
  <si>
    <t>2.2.2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</si>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</sst>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0.0"/>
    <numFmt numFmtId="166" formatCode="d&quot;/&quot;m"/>
    <numFmt numFmtId="167" formatCode="#,##0.0"/>
  </numFmts>
  <fonts count="29">
    <font>
      <sz val="10.0"/>
      <color rgb="FF000000"/>
      <name val="Arial"/>
      <scheme val="minor"/>
    </font>
    <font>
      <b/>
      <color rgb="FFFFFFFF"/>
      <name val="Montserrat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  <font>
      <b/>
      <color theme="1"/>
      <name val="Arial"/>
    </font>
    <font>
      <b/>
      <i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/>
    <font>
      <color rgb="FF000000"/>
      <name val="Montserrat"/>
    </font>
    <font>
      <b/>
      <color rgb="FFFF0000"/>
      <name val="Montserrat"/>
    </font>
    <font>
      <b/>
      <sz val="12.0"/>
      <color rgb="FFFFFFFF"/>
      <name val="Montserrat"/>
    </font>
    <font>
      <b/>
      <sz val="15.0"/>
      <color rgb="FFFFFFFF"/>
      <name val="Montserrat"/>
    </font>
    <font>
      <color rgb="FFFF3838"/>
      <name val="Montserrat"/>
    </font>
    <font>
      <b/>
      <color rgb="FF666666"/>
      <name val="Montserrat"/>
    </font>
    <font>
      <color rgb="FFFFFFFF"/>
      <name val="Montserrat"/>
    </font>
    <font>
      <b/>
      <sz val="11.0"/>
      <color theme="1"/>
      <name val="Montserrat"/>
    </font>
    <font>
      <b/>
      <color rgb="FFFF8000"/>
      <name val="Montserrat"/>
    </font>
    <font>
      <color rgb="FF9900FF"/>
      <name val="Montserrat"/>
    </font>
    <font>
      <color rgb="FF4A86E8"/>
      <name val="Montserrat"/>
    </font>
    <font>
      <color rgb="FF990000"/>
      <name val="Montserrat"/>
    </font>
    <font>
      <color rgb="FF38761D"/>
      <name val="Montserrat"/>
    </font>
    <font>
      <color rgb="FFBF9000"/>
      <name val="Montserrat"/>
    </font>
    <font>
      <b/>
      <color rgb="FF000000"/>
      <name val="Montserrat"/>
    </font>
    <font>
      <color rgb="FFF3F3F3"/>
      <name val="Montserrat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5983B0"/>
        <bgColor rgb="FF5983B0"/>
      </patternFill>
    </fill>
    <fill>
      <patternFill patternType="solid">
        <fgColor rgb="FFF3F3F3"/>
        <bgColor rgb="FFF3F3F3"/>
      </patternFill>
    </fill>
    <fill>
      <patternFill patternType="solid">
        <fgColor rgb="FFFFF5CE"/>
        <bgColor rgb="FFFFF5CE"/>
      </patternFill>
    </fill>
    <fill>
      <patternFill patternType="solid">
        <fgColor rgb="FFFFF2CC"/>
        <bgColor rgb="FFFFF2CC"/>
      </patternFill>
    </fill>
    <fill>
      <patternFill patternType="solid">
        <fgColor rgb="FFFFE994"/>
        <bgColor rgb="FFFFE994"/>
      </patternFill>
    </fill>
  </fills>
  <borders count="124">
    <border/>
    <border>
      <right style="thin">
        <color rgb="FFEAD1DC"/>
      </right>
    </border>
    <border>
      <left style="thin">
        <color rgb="FFEAD1DC"/>
      </left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</border>
    <border>
      <right style="thin">
        <color rgb="FFD9D2E9"/>
      </right>
    </border>
    <border>
      <left style="thin">
        <color rgb="FFD9D2E9"/>
      </left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</border>
    <border>
      <right style="thin">
        <color rgb="FFCFE2F3"/>
      </right>
    </border>
    <border>
      <left style="thin">
        <color rgb="FFCFE2F3"/>
      </left>
    </border>
    <border>
      <right style="thin">
        <color rgb="FFC9DAF8"/>
      </right>
    </border>
    <border>
      <left style="thin">
        <color rgb="FFC9DAF8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DC3C7"/>
      </right>
    </border>
    <border>
      <bottom style="thin">
        <color rgb="FF434343"/>
      </bottom>
    </border>
    <border>
      <right style="thin">
        <color rgb="FFBDC3C7"/>
      </right>
      <bottom style="thin">
        <color rgb="FF43434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DC3C7"/>
      </bottom>
    </border>
    <border>
      <right style="thin">
        <color rgb="FFBDC3C7"/>
      </right>
      <bottom style="thin">
        <color rgb="FFBDC3C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FFF2CC"/>
      </bottom>
    </border>
    <border>
      <top style="thin">
        <color rgb="FF000000"/>
      </top>
      <bottom style="thin">
        <color rgb="FFFFF2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FFE599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FFF2CC"/>
      </top>
      <bottom style="thin">
        <color rgb="FFFFF2CC"/>
      </bottom>
    </border>
    <border>
      <top style="thin">
        <color rgb="FFFFF2CC"/>
      </top>
      <bottom style="thin">
        <color rgb="FFFFF2CC"/>
      </bottom>
    </border>
    <border>
      <right style="thin">
        <color rgb="FF000000"/>
      </right>
      <top style="thin">
        <color rgb="FFFFE599"/>
      </top>
      <bottom style="thin">
        <color rgb="FFFFE5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thin">
        <color rgb="FF000000"/>
      </left>
      <top style="thin">
        <color rgb="FFFFF2CC"/>
      </top>
      <bottom style="thin">
        <color rgb="FF000000"/>
      </bottom>
    </border>
    <border>
      <top style="thin">
        <color rgb="FFFFF2CC"/>
      </top>
      <bottom style="thin">
        <color rgb="FF000000"/>
      </bottom>
    </border>
    <border>
      <right style="thin">
        <color rgb="FF000000"/>
      </right>
      <top style="thin">
        <color rgb="FFFFE599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6D7A8"/>
      </bottom>
    </border>
    <border>
      <top style="thin">
        <color rgb="FF000000"/>
      </top>
      <bottom style="thin">
        <color rgb="FFB6D7A8"/>
      </bottom>
    </border>
    <border>
      <right style="thin">
        <color rgb="FF000000"/>
      </right>
      <top style="thin">
        <color rgb="FF000000"/>
      </top>
      <bottom style="thin">
        <color rgb="FFB6D7A8"/>
      </bottom>
    </border>
    <border>
      <left style="thin">
        <color rgb="FF000000"/>
      </left>
      <top style="thin">
        <color rgb="FFD9EAD3"/>
      </top>
      <bottom style="thin">
        <color rgb="FFD9EAD3"/>
      </bottom>
    </border>
    <border>
      <top style="thin">
        <color rgb="FFD9EAD3"/>
      </top>
      <bottom style="thin">
        <color rgb="FFD9EAD3"/>
      </bottom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000000"/>
      </right>
      <top style="thin">
        <color rgb="FFB6D7A8"/>
      </top>
      <bottom style="thin">
        <color rgb="FFB6D7A8"/>
      </bottom>
    </border>
    <border>
      <left style="thin">
        <color rgb="FF000000"/>
      </left>
      <top style="thin">
        <color rgb="FFD9EAD3"/>
      </top>
    </border>
    <border>
      <top style="thin">
        <color rgb="FFD9EAD3"/>
      </top>
    </border>
    <border>
      <right style="thin">
        <color rgb="FFD9EAD3"/>
      </right>
      <top style="thin">
        <color rgb="FFD9EAD3"/>
      </top>
    </border>
    <border>
      <left style="thin">
        <color rgb="FFD9EAD3"/>
      </left>
      <right style="thin">
        <color rgb="FF000000"/>
      </right>
      <top style="thin">
        <color rgb="FFB6D7A8"/>
      </top>
    </border>
    <border>
      <left style="thin">
        <color rgb="FF000000"/>
      </left>
      <top style="thin">
        <color rgb="FFD9EAD3"/>
      </top>
      <bottom style="thin">
        <color rgb="FF000000"/>
      </bottom>
    </border>
    <border>
      <top style="thin">
        <color rgb="FFD9EAD3"/>
      </top>
      <bottom style="thin">
        <color rgb="FF000000"/>
      </bottom>
    </border>
    <border>
      <right style="thin">
        <color rgb="FFD9EAD3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000000"/>
      </right>
      <top style="thin">
        <color rgb="FFB6D7A8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9CB9C"/>
      </bottom>
    </border>
    <border>
      <top style="thin">
        <color rgb="FF000000"/>
      </top>
      <bottom style="thin">
        <color rgb="FFF9CB9C"/>
      </bottom>
    </border>
    <border>
      <right style="thin">
        <color rgb="FF000000"/>
      </right>
      <top style="thin">
        <color rgb="FF000000"/>
      </top>
      <bottom style="thin">
        <color rgb="FFF9CB9C"/>
      </bottom>
    </border>
    <border>
      <left style="thin">
        <color rgb="FF000000"/>
      </left>
      <top style="thin">
        <color rgb="FFFCE5CD"/>
      </top>
      <bottom style="thin">
        <color rgb="FFFCE5CD"/>
      </bottom>
    </border>
    <border>
      <top style="thin">
        <color rgb="FFFCE5CD"/>
      </top>
      <bottom style="thin">
        <color rgb="FFFCE5CD"/>
      </bottom>
    </border>
    <border>
      <right style="thin">
        <color rgb="FF000000"/>
      </right>
      <top style="thin">
        <color rgb="FFF9CB9C"/>
      </top>
      <bottom style="thin">
        <color rgb="FFF9CB9C"/>
      </bottom>
    </border>
    <border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000000"/>
      </left>
      <top style="thin">
        <color rgb="FFFCE5CD"/>
      </top>
      <bottom style="thin">
        <color rgb="FF000000"/>
      </bottom>
    </border>
    <border>
      <top style="thin">
        <color rgb="FFFCE5CD"/>
      </top>
      <bottom style="thin">
        <color rgb="FF000000"/>
      </bottom>
    </border>
    <border>
      <right style="thin">
        <color rgb="FFD9EAD3"/>
      </right>
      <top style="thin">
        <color rgb="FFFCE5CD"/>
      </top>
      <bottom style="thin">
        <color rgb="FF000000"/>
      </bottom>
    </border>
    <border>
      <left style="thin">
        <color rgb="FFD9EAD3"/>
      </left>
      <right style="thin">
        <color rgb="FF000000"/>
      </right>
      <top style="thin">
        <color rgb="FFF9CB9C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34343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2E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FE2F3"/>
      </bottom>
    </border>
    <border>
      <left style="thin">
        <color rgb="FF000000"/>
      </left>
      <right style="thin">
        <color rgb="FF000000"/>
      </right>
      <bottom style="thin">
        <color rgb="FFF4CCCC"/>
      </bottom>
    </border>
    <border>
      <left style="thin">
        <color rgb="FF000000"/>
      </left>
      <right style="thin">
        <color rgb="FF000000"/>
      </right>
      <bottom style="thin">
        <color rgb="FFD9EAD3"/>
      </bottom>
    </border>
    <border>
      <left style="thin">
        <color rgb="FF000000"/>
      </left>
      <bottom style="thin">
        <color rgb="FFFCE5CD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D9D2E9"/>
      </top>
      <bottom style="thin">
        <color rgb="FFD9D2E9"/>
      </bottom>
    </border>
    <border>
      <left style="thin">
        <color rgb="FF000000"/>
      </left>
      <right style="thin">
        <color rgb="FF000000"/>
      </right>
      <top style="thin">
        <color rgb="FFCFE2F3"/>
      </top>
      <bottom style="thin">
        <color rgb="FFCFE2F3"/>
      </bottom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F4CCCC"/>
      </bottom>
    </border>
    <border>
      <left style="thin">
        <color rgb="FF000000"/>
      </left>
      <right style="thin">
        <color rgb="FF000000"/>
      </right>
      <top style="thin">
        <color rgb="FFD9EAD3"/>
      </top>
      <bottom style="thin">
        <color rgb="FFD9EAD3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CE5CD"/>
      </top>
      <bottom style="thin">
        <color rgb="FFFCE5CD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D9D2E9"/>
      </top>
    </border>
    <border>
      <left style="thin">
        <color rgb="FF000000"/>
      </left>
      <right style="thin">
        <color rgb="FF000000"/>
      </right>
      <top style="thin">
        <color rgb="FFCFE2F3"/>
      </top>
    </border>
    <border>
      <left style="thin">
        <color rgb="FF000000"/>
      </left>
      <right style="thin">
        <color rgb="FF000000"/>
      </right>
      <top style="thin">
        <color rgb="FFF4CCCC"/>
      </top>
    </border>
    <border>
      <left style="thin">
        <color rgb="FF000000"/>
      </left>
      <right style="thin">
        <color rgb="FF000000"/>
      </right>
      <top style="thin">
        <color rgb="FFD9EAD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CE5CD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CCCCCC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CE5CD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vertical="bottom"/>
    </xf>
    <xf borderId="0" fillId="8" fontId="6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vertical="bottom"/>
    </xf>
    <xf borderId="0" fillId="5" fontId="8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vertical="bottom"/>
    </xf>
    <xf borderId="0" fillId="11" fontId="7" numFmtId="4" xfId="0" applyAlignment="1" applyFill="1" applyFont="1" applyNumberFormat="1">
      <alignment horizontal="center" vertical="bottom"/>
    </xf>
    <xf borderId="0" fillId="13" fontId="2" numFmtId="0" xfId="0" applyAlignment="1" applyFill="1" applyFont="1">
      <alignment horizontal="center" shrinkToFit="0" vertical="center" wrapText="1"/>
    </xf>
    <xf borderId="0" fillId="12" fontId="7" numFmtId="0" xfId="0" applyAlignment="1" applyFill="1" applyFont="1">
      <alignment horizontal="center" readingOrder="0" vertical="bottom"/>
    </xf>
    <xf borderId="0" fillId="7" fontId="3" numFmtId="0" xfId="0" applyAlignment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12" fontId="7" numFmtId="0" xfId="0" applyAlignment="1" applyFill="1" applyFont="1">
      <alignment horizontal="center" vertical="bottom"/>
    </xf>
    <xf borderId="1" fillId="14" fontId="9" numFmtId="0" xfId="0" applyAlignment="1" applyBorder="1" applyFill="1" applyFont="1">
      <alignment horizontal="center" readingOrder="0"/>
    </xf>
    <xf borderId="2" fillId="14" fontId="9" numFmtId="0" xfId="0" applyAlignment="1" applyBorder="1" applyFill="1" applyFont="1">
      <alignment horizontal="left" readingOrder="0"/>
    </xf>
    <xf borderId="0" fillId="15" fontId="5" numFmtId="0" xfId="0" applyAlignment="1" applyFill="1" applyFont="1">
      <alignment horizontal="center" readingOrder="0" shrinkToFit="0" textRotation="90" vertical="center" wrapText="1"/>
    </xf>
    <xf borderId="3" fillId="14" fontId="10" numFmtId="0" xfId="0" applyAlignment="1" applyBorder="1" applyFill="1" applyFont="1">
      <alignment horizontal="center" readingOrder="0"/>
    </xf>
    <xf borderId="0" fillId="16" fontId="2" numFmtId="0" xfId="0" applyAlignment="1" applyFill="1" applyFont="1">
      <alignment horizontal="center" shrinkToFit="0" vertical="center" wrapText="1"/>
    </xf>
    <xf borderId="4" fillId="14" fontId="10" numFmtId="0" xfId="0" applyAlignment="1" applyBorder="1" applyFill="1" applyFont="1">
      <alignment horizontal="center" readingOrder="0"/>
    </xf>
    <xf borderId="5" fillId="17" fontId="9" numFmtId="0" xfId="0" applyAlignment="1" applyBorder="1" applyFill="1" applyFont="1">
      <alignment horizontal="center" readingOrder="0"/>
    </xf>
    <xf borderId="6" fillId="17" fontId="9" numFmtId="0" xfId="0" applyAlignment="1" applyBorder="1" applyFill="1" applyFont="1">
      <alignment horizontal="left" readingOrder="0"/>
    </xf>
    <xf borderId="3" fillId="17" fontId="10" numFmtId="0" xfId="0" applyAlignment="1" applyBorder="1" applyFill="1" applyFont="1">
      <alignment horizontal="center" readingOrder="0"/>
    </xf>
    <xf borderId="7" fillId="17" fontId="10" numFmtId="0" xfId="0" applyAlignment="1" applyBorder="1" applyFill="1" applyFont="1">
      <alignment horizontal="center" readingOrder="0"/>
    </xf>
    <xf borderId="0" fillId="18" fontId="4" numFmtId="0" xfId="0" applyAlignment="1" applyFill="1" applyFont="1">
      <alignment horizontal="left"/>
    </xf>
    <xf borderId="0" fillId="4" fontId="3" numFmtId="0" xfId="0" applyAlignment="1" applyFill="1" applyFont="1">
      <alignment horizontal="center" shrinkToFit="0" vertical="center" wrapText="1"/>
    </xf>
    <xf borderId="8" fillId="17" fontId="10" numFmtId="0" xfId="0" applyAlignment="1" applyBorder="1" applyFill="1" applyFont="1">
      <alignment horizontal="center" readingOrder="0"/>
    </xf>
    <xf borderId="0" fillId="11" fontId="7" numFmtId="4" xfId="0" applyAlignment="1" applyFill="1" applyFont="1" applyNumberFormat="1">
      <alignment horizontal="center" readingOrder="0" vertical="bottom"/>
    </xf>
    <xf borderId="0" fillId="0" fontId="7" numFmtId="0" xfId="0" applyAlignment="1" applyFont="1">
      <alignment vertical="bottom"/>
    </xf>
    <xf borderId="0" fillId="4" fontId="3" numFmtId="0" xfId="0" applyAlignment="1" applyFill="1" applyFont="1">
      <alignment horizontal="center" shrinkToFit="0" textRotation="0" vertical="center" wrapText="1"/>
    </xf>
    <xf borderId="9" fillId="17" fontId="10" numFmtId="0" xfId="0" applyAlignment="1" applyBorder="1" applyFill="1" applyFont="1">
      <alignment horizontal="center" readingOrder="0"/>
    </xf>
    <xf borderId="10" fillId="19" fontId="9" numFmtId="0" xfId="0" applyAlignment="1" applyBorder="1" applyFill="1" applyFont="1">
      <alignment horizontal="center" readingOrder="0"/>
    </xf>
    <xf borderId="11" fillId="19" fontId="9" numFmtId="0" xfId="0" applyAlignment="1" applyBorder="1" applyFill="1" applyFont="1">
      <alignment horizontal="left" readingOrder="0"/>
    </xf>
    <xf borderId="3" fillId="19" fontId="10" numFmtId="0" xfId="0" applyAlignment="1" applyBorder="1" applyFill="1" applyFont="1">
      <alignment horizontal="center" readingOrder="0"/>
    </xf>
    <xf borderId="7" fillId="19" fontId="10" numFmtId="0" xfId="0" applyAlignment="1" applyBorder="1" applyFill="1" applyFont="1">
      <alignment horizontal="center" readingOrder="0"/>
    </xf>
    <xf borderId="0" fillId="18" fontId="4" numFmtId="0" xfId="0" applyAlignment="1" applyFill="1" applyFont="1">
      <alignment horizontal="left" vertical="bottom"/>
    </xf>
    <xf borderId="8" fillId="19" fontId="10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 vertical="center"/>
    </xf>
    <xf borderId="9" fillId="19" fontId="10" numFmtId="0" xfId="0" applyAlignment="1" applyBorder="1" applyFill="1" applyFont="1">
      <alignment horizontal="center" readingOrder="0"/>
    </xf>
    <xf borderId="12" fillId="12" fontId="9" numFmtId="0" xfId="0" applyAlignment="1" applyBorder="1" applyFill="1" applyFont="1">
      <alignment horizontal="center" readingOrder="0"/>
    </xf>
    <xf borderId="13" fillId="12" fontId="9" numFmtId="0" xfId="0" applyAlignment="1" applyBorder="1" applyFill="1" applyFont="1">
      <alignment horizontal="left" readingOrder="0"/>
    </xf>
    <xf borderId="3" fillId="12" fontId="10" numFmtId="0" xfId="0" applyAlignment="1" applyBorder="1" applyFill="1" applyFont="1">
      <alignment horizontal="center" readingOrder="0"/>
    </xf>
    <xf borderId="7" fillId="12" fontId="10" numFmtId="0" xfId="0" applyAlignment="1" applyBorder="1" applyFill="1" applyFont="1">
      <alignment horizontal="center" readingOrder="0"/>
    </xf>
    <xf borderId="8" fillId="12" fontId="10" numFmtId="0" xfId="0" applyAlignment="1" applyBorder="1" applyFill="1" applyFont="1">
      <alignment horizontal="center" readingOrder="0"/>
    </xf>
    <xf borderId="12" fillId="12" fontId="8" numFmtId="0" xfId="0" applyAlignment="1" applyBorder="1" applyFill="1" applyFont="1">
      <alignment horizontal="center" readingOrder="0"/>
    </xf>
    <xf borderId="13" fillId="12" fontId="8" numFmtId="0" xfId="0" applyAlignment="1" applyBorder="1" applyFill="1" applyFont="1">
      <alignment horizontal="left" readingOrder="0"/>
    </xf>
    <xf borderId="0" fillId="5" fontId="11" numFmtId="0" xfId="0" applyAlignment="1" applyFill="1" applyFont="1">
      <alignment horizontal="center" readingOrder="0" shrinkToFit="0" wrapText="1"/>
    </xf>
    <xf borderId="0" fillId="5" fontId="11" numFmtId="0" xfId="0" applyAlignment="1" applyFill="1" applyFont="1">
      <alignment horizontal="center" readingOrder="0" shrinkToFit="0" vertical="center" wrapText="1"/>
    </xf>
    <xf borderId="0" fillId="17" fontId="11" numFmtId="0" xfId="0" applyAlignment="1" applyFill="1" applyFont="1">
      <alignment horizontal="center" readingOrder="0" shrinkToFit="0" wrapText="1"/>
    </xf>
    <xf borderId="0" fillId="18" fontId="11" numFmtId="0" xfId="0" applyAlignment="1" applyFill="1" applyFont="1">
      <alignment horizontal="center" readingOrder="0" shrinkToFit="0" wrapText="1"/>
    </xf>
    <xf borderId="0" fillId="14" fontId="11" numFmtId="0" xfId="0" applyAlignment="1" applyFill="1" applyFont="1">
      <alignment horizontal="center" readingOrder="0" shrinkToFit="0" wrapText="1"/>
    </xf>
    <xf borderId="0" fillId="19" fontId="11" numFmtId="0" xfId="0" applyAlignment="1" applyFill="1" applyFont="1">
      <alignment horizontal="center" readingOrder="0" shrinkToFit="0" wrapText="1"/>
    </xf>
    <xf borderId="14" fillId="3" fontId="3" numFmtId="0" xfId="0" applyAlignment="1" applyBorder="1" applyFill="1" applyFont="1">
      <alignment horizontal="center" vertical="bottom"/>
    </xf>
    <xf borderId="15" fillId="0" fontId="12" numFmtId="0" xfId="0" applyBorder="1" applyFont="1"/>
    <xf borderId="16" fillId="0" fontId="12" numFmtId="0" xfId="0" applyBorder="1" applyFont="1"/>
    <xf borderId="16" fillId="3" fontId="3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horizontal="center"/>
    </xf>
    <xf borderId="0" fillId="20" fontId="2" numFmtId="0" xfId="0" applyAlignment="1" applyFill="1" applyFont="1">
      <alignment horizontal="center"/>
    </xf>
    <xf borderId="0" fillId="0" fontId="8" numFmtId="9" xfId="0" applyAlignment="1" applyFont="1" applyNumberFormat="1">
      <alignment horizontal="center" readingOrder="0"/>
    </xf>
    <xf borderId="0" fillId="13" fontId="2" numFmtId="0" xfId="0" applyAlignment="1" applyFill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17" fillId="0" fontId="6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4" fillId="21" fontId="3" numFmtId="0" xfId="0" applyAlignment="1" applyBorder="1" applyFill="1" applyFont="1">
      <alignment horizontal="center" vertical="bottom"/>
    </xf>
    <xf borderId="15" fillId="21" fontId="3" numFmtId="0" xfId="0" applyAlignment="1" applyBorder="1" applyFill="1" applyFont="1">
      <alignment horizontal="center" vertical="bottom"/>
    </xf>
    <xf borderId="16" fillId="21" fontId="3" numFmtId="0" xfId="0" applyAlignment="1" applyBorder="1" applyFill="1" applyFont="1">
      <alignment horizontal="center" vertical="bottom"/>
    </xf>
    <xf borderId="16" fillId="20" fontId="3" numFmtId="0" xfId="0" applyAlignment="1" applyBorder="1" applyFill="1" applyFont="1">
      <alignment horizontal="center" vertical="bottom"/>
    </xf>
    <xf borderId="0" fillId="11" fontId="3" numFmtId="0" xfId="0" applyAlignment="1" applyFill="1" applyFont="1">
      <alignment horizontal="center"/>
    </xf>
    <xf borderId="0" fillId="4" fontId="3" numFmtId="0" xfId="0" applyAlignment="1" applyFill="1" applyFont="1">
      <alignment horizontal="center" readingOrder="0" shrinkToFit="0" textRotation="0" vertical="center" wrapText="1"/>
    </xf>
    <xf borderId="0" fillId="21" fontId="3" numFmtId="164" xfId="0" applyAlignment="1" applyFill="1" applyFont="1" applyNumberFormat="1">
      <alignment horizontal="center"/>
    </xf>
    <xf borderId="0" fillId="9" fontId="3" numFmtId="0" xfId="0" applyAlignment="1" applyFill="1" applyFont="1">
      <alignment horizontal="center"/>
    </xf>
    <xf borderId="0" fillId="9" fontId="3" numFmtId="164" xfId="0" applyAlignment="1" applyFill="1" applyFont="1" applyNumberFormat="1">
      <alignment horizontal="center"/>
    </xf>
    <xf borderId="0" fillId="4" fontId="3" numFmtId="0" xfId="0" applyAlignment="1" applyFill="1" applyFont="1">
      <alignment horizontal="center" readingOrder="0" vertical="center"/>
    </xf>
    <xf borderId="14" fillId="13" fontId="3" numFmtId="0" xfId="0" applyAlignment="1" applyBorder="1" applyFill="1" applyFont="1">
      <alignment horizontal="center" vertical="bottom"/>
    </xf>
    <xf borderId="16" fillId="13" fontId="3" numFmtId="0" xfId="0" applyAlignment="1" applyBorder="1" applyFill="1" applyFont="1">
      <alignment horizontal="center" vertical="bottom"/>
    </xf>
    <xf borderId="0" fillId="16" fontId="3" numFmtId="0" xfId="0" applyAlignment="1" applyFill="1" applyFont="1">
      <alignment horizontal="center" vertical="bottom"/>
    </xf>
    <xf borderId="0" fillId="22" fontId="3" numFmtId="0" xfId="0" applyAlignment="1" applyFill="1" applyFont="1">
      <alignment horizontal="center" vertical="bottom"/>
    </xf>
    <xf borderId="18" fillId="0" fontId="6" numFmtId="0" xfId="0" applyAlignment="1" applyBorder="1" applyFont="1">
      <alignment horizontal="center" readingOrder="0"/>
    </xf>
    <xf borderId="19" fillId="0" fontId="6" numFmtId="0" xfId="0" applyAlignment="1" applyBorder="1" applyFont="1">
      <alignment horizontal="center" readingOrder="0"/>
    </xf>
    <xf borderId="14" fillId="9" fontId="3" numFmtId="0" xfId="0" applyAlignment="1" applyBorder="1" applyFill="1" applyFont="1">
      <alignment horizontal="center" vertical="bottom"/>
    </xf>
    <xf borderId="15" fillId="9" fontId="3" numFmtId="0" xfId="0" applyAlignment="1" applyBorder="1" applyFill="1" applyFont="1">
      <alignment horizontal="center" vertical="bottom"/>
    </xf>
    <xf borderId="16" fillId="9" fontId="3" numFmtId="0" xfId="0" applyAlignment="1" applyBorder="1" applyFill="1" applyFont="1">
      <alignment horizontal="center" vertical="bottom"/>
    </xf>
    <xf borderId="16" fillId="23" fontId="3" numFmtId="0" xfId="0" applyAlignment="1" applyBorder="1" applyFill="1" applyFont="1">
      <alignment horizontal="center" vertical="bottom"/>
    </xf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 vertical="bottom"/>
    </xf>
    <xf borderId="0" fillId="10" fontId="3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14" fillId="9" fontId="3" numFmtId="0" xfId="0" applyAlignment="1" applyBorder="1" applyFill="1" applyFont="1">
      <alignment horizontal="center" vertical="bottom"/>
    </xf>
    <xf borderId="15" fillId="9" fontId="3" numFmtId="0" xfId="0" applyAlignment="1" applyBorder="1" applyFill="1" applyFont="1">
      <alignment horizontal="center" vertical="bottom"/>
    </xf>
    <xf borderId="16" fillId="9" fontId="3" numFmtId="0" xfId="0" applyAlignment="1" applyBorder="1" applyFill="1" applyFont="1">
      <alignment horizontal="center" vertical="bottom"/>
    </xf>
    <xf borderId="16" fillId="23" fontId="3" numFmtId="0" xfId="0" applyAlignment="1" applyBorder="1" applyFill="1" applyFont="1">
      <alignment horizontal="center" vertical="bottom"/>
    </xf>
    <xf borderId="20" fillId="16" fontId="3" numFmtId="0" xfId="0" applyAlignment="1" applyBorder="1" applyFill="1" applyFont="1">
      <alignment horizontal="center" vertical="bottom"/>
    </xf>
    <xf borderId="21" fillId="0" fontId="12" numFmtId="0" xfId="0" applyBorder="1" applyFont="1"/>
    <xf borderId="22" fillId="0" fontId="12" numFmtId="0" xfId="0" applyBorder="1" applyFont="1"/>
    <xf borderId="23" fillId="16" fontId="3" numFmtId="0" xfId="0" applyAlignment="1" applyBorder="1" applyFill="1" applyFont="1">
      <alignment horizontal="center" vertical="bottom"/>
    </xf>
    <xf borderId="14" fillId="11" fontId="3" numFmtId="0" xfId="0" applyAlignment="1" applyBorder="1" applyFill="1" applyFont="1">
      <alignment horizontal="center" vertical="bottom"/>
    </xf>
    <xf borderId="15" fillId="11" fontId="7" numFmtId="0" xfId="0" applyAlignment="1" applyBorder="1" applyFill="1" applyFont="1">
      <alignment vertical="bottom"/>
    </xf>
    <xf borderId="16" fillId="11" fontId="3" numFmtId="0" xfId="0" applyAlignment="1" applyBorder="1" applyFill="1" applyFont="1">
      <alignment horizontal="center" vertical="bottom"/>
    </xf>
    <xf borderId="23" fillId="6" fontId="3" numFmtId="0" xfId="0" applyAlignment="1" applyBorder="1" applyFill="1" applyFont="1">
      <alignment horizontal="center" vertical="bottom"/>
    </xf>
    <xf borderId="24" fillId="0" fontId="9" numFmtId="0" xfId="0" applyAlignment="1" applyBorder="1" applyFont="1">
      <alignment horizontal="center" readingOrder="0"/>
    </xf>
    <xf borderId="25" fillId="0" fontId="9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26" fillId="0" fontId="3" numFmtId="0" xfId="0" applyAlignment="1" applyBorder="1" applyFont="1">
      <alignment horizontal="center" readingOrder="0" vertical="center"/>
    </xf>
    <xf borderId="27" fillId="0" fontId="12" numFmtId="0" xfId="0" applyBorder="1" applyFont="1"/>
    <xf borderId="28" fillId="0" fontId="12" numFmtId="0" xfId="0" applyBorder="1" applyFont="1"/>
    <xf borderId="26" fillId="0" fontId="3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15" fillId="5" fontId="3" numFmtId="0" xfId="0" applyAlignment="1" applyBorder="1" applyFill="1" applyFont="1">
      <alignment horizontal="center" vertical="center"/>
    </xf>
    <xf borderId="15" fillId="5" fontId="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right" readingOrder="0"/>
    </xf>
    <xf borderId="0" fillId="24" fontId="14" numFmtId="0" xfId="0" applyAlignment="1" applyFill="1" applyFont="1">
      <alignment horizontal="center" readingOrder="0"/>
    </xf>
    <xf borderId="0" fillId="0" fontId="3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15" fillId="5" fontId="2" numFmtId="0" xfId="0" applyAlignment="1" applyBorder="1" applyFill="1" applyFont="1">
      <alignment horizontal="center" readingOrder="0" vertical="center"/>
    </xf>
    <xf borderId="14" fillId="5" fontId="3" numFmtId="0" xfId="0" applyAlignment="1" applyBorder="1" applyFill="1" applyFont="1">
      <alignment horizontal="center" vertical="center"/>
    </xf>
    <xf borderId="0" fillId="25" fontId="16" numFmtId="0" xfId="0" applyAlignment="1" applyFill="1" applyFont="1">
      <alignment horizontal="left" readingOrder="0" vertical="top"/>
    </xf>
    <xf borderId="16" fillId="5" fontId="3" numFmtId="0" xfId="0" applyAlignment="1" applyBorder="1" applyFill="1" applyFont="1">
      <alignment horizontal="center" vertical="center"/>
    </xf>
    <xf borderId="21" fillId="5" fontId="2" numFmtId="0" xfId="0" applyAlignment="1" applyBorder="1" applyFill="1" applyFont="1">
      <alignment horizontal="center" vertical="center"/>
    </xf>
    <xf borderId="21" fillId="5" fontId="3" numFmtId="0" xfId="0" applyAlignment="1" applyBorder="1" applyFill="1" applyFont="1">
      <alignment horizontal="center" vertical="center"/>
    </xf>
    <xf borderId="21" fillId="5" fontId="2" numFmtId="0" xfId="0" applyAlignment="1" applyBorder="1" applyFill="1" applyFont="1">
      <alignment horizontal="center" readingOrder="0" vertical="center"/>
    </xf>
    <xf borderId="20" fillId="5" fontId="3" numFmtId="0" xfId="0" applyAlignment="1" applyBorder="1" applyFill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1" fillId="0" fontId="12" numFmtId="0" xfId="0" applyBorder="1" applyFont="1"/>
    <xf borderId="31" fillId="0" fontId="3" numFmtId="0" xfId="0" applyAlignment="1" applyBorder="1" applyFont="1">
      <alignment horizontal="center" readingOrder="0" vertical="center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readingOrder="0" vertical="center"/>
    </xf>
    <xf borderId="22" fillId="5" fontId="3" numFmtId="0" xfId="0" applyAlignment="1" applyBorder="1" applyFill="1" applyFont="1">
      <alignment horizontal="center" vertical="center"/>
    </xf>
    <xf borderId="33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16" fillId="26" fontId="3" numFmtId="0" xfId="0" applyAlignment="1" applyBorder="1" applyFill="1" applyFont="1">
      <alignment horizontal="center" vertical="center"/>
    </xf>
    <xf borderId="23" fillId="26" fontId="3" numFmtId="0" xfId="0" applyAlignment="1" applyBorder="1" applyFill="1" applyFont="1">
      <alignment horizontal="center" vertical="center"/>
    </xf>
    <xf borderId="23" fillId="26" fontId="3" numFmtId="0" xfId="0" applyAlignment="1" applyBorder="1" applyFill="1" applyFont="1">
      <alignment horizontal="center" readingOrder="0" vertical="center"/>
    </xf>
    <xf borderId="0" fillId="24" fontId="17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23" fillId="26" fontId="3" numFmtId="165" xfId="0" applyAlignment="1" applyBorder="1" applyFill="1" applyFont="1" applyNumberFormat="1">
      <alignment horizontal="center" vertical="center"/>
    </xf>
    <xf borderId="34" fillId="0" fontId="2" numFmtId="0" xfId="0" applyAlignment="1" applyBorder="1" applyFont="1">
      <alignment horizontal="right" readingOrder="0"/>
    </xf>
    <xf borderId="34" fillId="27" fontId="2" numFmtId="0" xfId="0" applyAlignment="1" applyBorder="1" applyFill="1" applyFont="1">
      <alignment horizontal="right" readingOrder="0"/>
    </xf>
    <xf borderId="35" fillId="0" fontId="12" numFmtId="0" xfId="0" applyBorder="1" applyFont="1"/>
    <xf borderId="36" fillId="0" fontId="3" numFmtId="0" xfId="0" applyAlignment="1" applyBorder="1" applyFont="1">
      <alignment horizontal="center" readingOrder="0" vertical="center"/>
    </xf>
    <xf borderId="16" fillId="26" fontId="3" numFmtId="0" xfId="0" applyAlignment="1" applyBorder="1" applyFill="1" applyFont="1">
      <alignment horizontal="center" readingOrder="0" vertical="center"/>
    </xf>
    <xf borderId="37" fillId="28" fontId="18" numFmtId="0" xfId="0" applyAlignment="1" applyBorder="1" applyFill="1" applyFont="1">
      <alignment horizontal="center" readingOrder="0"/>
    </xf>
    <xf borderId="38" fillId="0" fontId="3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29" fillId="0" fontId="3" numFmtId="0" xfId="0" applyAlignment="1" applyBorder="1" applyFont="1">
      <alignment horizontal="center" readingOrder="0" textRotation="45" vertical="center"/>
    </xf>
    <xf borderId="39" fillId="0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readingOrder="0" textRotation="45" vertical="center"/>
    </xf>
    <xf borderId="41" fillId="0" fontId="3" numFmtId="0" xfId="0" applyAlignment="1" applyBorder="1" applyFont="1">
      <alignment horizontal="center" readingOrder="0" textRotation="45" vertical="center"/>
    </xf>
    <xf borderId="42" fillId="0" fontId="3" numFmtId="0" xfId="0" applyAlignment="1" applyBorder="1" applyFont="1">
      <alignment horizontal="center" readingOrder="0" textRotation="45" vertical="center"/>
    </xf>
    <xf borderId="0" fillId="0" fontId="3" numFmtId="0" xfId="0" applyFont="1"/>
    <xf borderId="43" fillId="27" fontId="2" numFmtId="0" xfId="0" applyAlignment="1" applyBorder="1" applyFill="1" applyFont="1">
      <alignment horizontal="right" readingOrder="0"/>
    </xf>
    <xf borderId="44" fillId="0" fontId="12" numFmtId="0" xfId="0" applyBorder="1" applyFont="1"/>
    <xf borderId="45" fillId="29" fontId="2" numFmtId="0" xfId="0" applyAlignment="1" applyBorder="1" applyFill="1" applyFont="1">
      <alignment horizontal="center" readingOrder="0"/>
    </xf>
    <xf borderId="46" fillId="0" fontId="12" numFmtId="0" xfId="0" applyBorder="1" applyFont="1"/>
    <xf borderId="46" fillId="0" fontId="3" numFmtId="0" xfId="0" applyAlignment="1" applyBorder="1" applyFont="1">
      <alignment horizontal="center" readingOrder="0" textRotation="45" vertical="center"/>
    </xf>
    <xf borderId="47" fillId="0" fontId="3" numFmtId="0" xfId="0" applyAlignment="1" applyBorder="1" applyFont="1">
      <alignment horizontal="center" readingOrder="0" textRotation="45" vertical="center"/>
    </xf>
    <xf borderId="48" fillId="0" fontId="3" numFmtId="0" xfId="0" applyAlignment="1" applyBorder="1" applyFont="1">
      <alignment horizontal="center" readingOrder="0" textRotation="45" vertical="center"/>
    </xf>
    <xf borderId="49" fillId="0" fontId="3" numFmtId="0" xfId="0" applyAlignment="1" applyBorder="1" applyFont="1">
      <alignment horizontal="center" readingOrder="0" textRotation="45" vertical="center"/>
    </xf>
    <xf borderId="50" fillId="27" fontId="2" numFmtId="0" xfId="0" applyAlignment="1" applyBorder="1" applyFill="1" applyFont="1">
      <alignment horizontal="right" readingOrder="0"/>
    </xf>
    <xf borderId="51" fillId="0" fontId="12" numFmtId="0" xfId="0" applyBorder="1" applyFont="1"/>
    <xf borderId="52" fillId="29" fontId="2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left" vertical="top"/>
    </xf>
    <xf borderId="36" fillId="0" fontId="12" numFmtId="0" xfId="0" applyBorder="1" applyFont="1"/>
    <xf borderId="53" fillId="21" fontId="20" numFmtId="0" xfId="0" applyAlignment="1" applyBorder="1" applyFill="1" applyFont="1">
      <alignment horizontal="center" readingOrder="0"/>
    </xf>
    <xf borderId="54" fillId="0" fontId="12" numFmtId="0" xfId="0" applyBorder="1" applyFont="1"/>
    <xf borderId="55" fillId="0" fontId="12" numFmtId="0" xfId="0" applyBorder="1" applyFont="1"/>
    <xf borderId="0" fillId="0" fontId="3" numFmtId="0" xfId="0" applyAlignment="1" applyFont="1">
      <alignment horizontal="center" readingOrder="0" shrinkToFit="0" textRotation="180" vertical="center" wrapText="1"/>
    </xf>
    <xf borderId="56" fillId="21" fontId="2" numFmtId="0" xfId="0" applyAlignment="1" applyBorder="1" applyFill="1" applyFont="1">
      <alignment horizontal="right" readingOrder="0"/>
    </xf>
    <xf borderId="57" fillId="0" fontId="12" numFmtId="0" xfId="0" applyBorder="1" applyFont="1"/>
    <xf borderId="58" fillId="0" fontId="12" numFmtId="0" xfId="0" applyBorder="1" applyFont="1"/>
    <xf borderId="59" fillId="20" fontId="2" numFmtId="0" xfId="0" applyAlignment="1" applyBorder="1" applyFill="1" applyFont="1">
      <alignment horizontal="center" readingOrder="0"/>
    </xf>
    <xf borderId="60" fillId="21" fontId="2" numFmtId="0" xfId="0" applyAlignment="1" applyBorder="1" applyFill="1" applyFont="1">
      <alignment horizontal="right" readingOrder="0"/>
    </xf>
    <xf borderId="61" fillId="0" fontId="12" numFmtId="0" xfId="0" applyBorder="1" applyFont="1"/>
    <xf borderId="62" fillId="0" fontId="12" numFmtId="0" xfId="0" applyBorder="1" applyFont="1"/>
    <xf borderId="63" fillId="20" fontId="2" numFmtId="0" xfId="0" applyAlignment="1" applyBorder="1" applyFill="1" applyFont="1">
      <alignment horizontal="center" readingOrder="0"/>
    </xf>
    <xf borderId="64" fillId="21" fontId="2" numFmtId="0" xfId="0" applyAlignment="1" applyBorder="1" applyFill="1" applyFont="1">
      <alignment horizontal="right" readingOrder="0"/>
    </xf>
    <xf borderId="65" fillId="0" fontId="12" numFmtId="0" xfId="0" applyBorder="1" applyFont="1"/>
    <xf borderId="66" fillId="0" fontId="12" numFmtId="0" xfId="0" applyBorder="1" applyFont="1"/>
    <xf borderId="67" fillId="20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1" numFmtId="0" xfId="0" applyAlignment="1" applyFont="1">
      <alignment horizontal="left" readingOrder="0"/>
    </xf>
    <xf borderId="68" fillId="9" fontId="20" numFmtId="0" xfId="0" applyAlignment="1" applyBorder="1" applyFill="1" applyFont="1">
      <alignment horizontal="center" readingOrder="0"/>
    </xf>
    <xf borderId="69" fillId="0" fontId="12" numFmtId="0" xfId="0" applyBorder="1" applyFont="1"/>
    <xf borderId="70" fillId="0" fontId="12" numFmtId="0" xfId="0" applyBorder="1" applyFont="1"/>
    <xf borderId="71" fillId="9" fontId="2" numFmtId="0" xfId="0" applyAlignment="1" applyBorder="1" applyFill="1" applyFont="1">
      <alignment horizontal="right" readingOrder="0"/>
    </xf>
    <xf borderId="72" fillId="0" fontId="12" numFmtId="0" xfId="0" applyBorder="1" applyFont="1"/>
    <xf borderId="73" fillId="23" fontId="2" numFmtId="0" xfId="0" applyAlignment="1" applyBorder="1" applyFill="1" applyFont="1">
      <alignment horizontal="center" readingOrder="0"/>
    </xf>
    <xf borderId="74" fillId="0" fontId="12" numFmtId="0" xfId="0" applyBorder="1" applyFont="1"/>
    <xf borderId="75" fillId="9" fontId="2" numFmtId="0" xfId="0" applyAlignment="1" applyBorder="1" applyFill="1" applyFont="1">
      <alignment horizontal="right" readingOrder="0"/>
    </xf>
    <xf borderId="76" fillId="0" fontId="12" numFmtId="0" xfId="0" applyBorder="1" applyFont="1"/>
    <xf borderId="77" fillId="0" fontId="12" numFmtId="0" xfId="0" applyBorder="1" applyFont="1"/>
    <xf borderId="78" fillId="2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24" fontId="2" numFmtId="0" xfId="0" applyAlignment="1" applyFill="1" applyFont="1">
      <alignment horizontal="right" readingOrder="0"/>
    </xf>
    <xf borderId="0" fillId="24" fontId="2" numFmtId="0" xfId="0" applyAlignment="1" applyFill="1" applyFont="1">
      <alignment horizontal="center" readingOrder="0"/>
    </xf>
    <xf borderId="79" fillId="0" fontId="3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left" vertical="bottom"/>
    </xf>
    <xf borderId="46" fillId="0" fontId="19" numFmtId="49" xfId="0" applyAlignment="1" applyBorder="1" applyFont="1" applyNumberFormat="1">
      <alignment horizontal="center" vertical="center"/>
    </xf>
    <xf borderId="46" fillId="0" fontId="19" numFmtId="0" xfId="0" applyAlignment="1" applyBorder="1" applyFont="1">
      <alignment horizontal="center" vertical="center"/>
    </xf>
    <xf borderId="80" fillId="20" fontId="2" numFmtId="167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horizontal="left" vertical="bottom"/>
    </xf>
    <xf borderId="81" fillId="17" fontId="22" numFmtId="0" xfId="0" applyAlignment="1" applyBorder="1" applyFill="1" applyFont="1">
      <alignment horizontal="center" readingOrder="0" vertical="center"/>
    </xf>
    <xf borderId="82" fillId="19" fontId="23" numFmtId="0" xfId="0" applyAlignment="1" applyBorder="1" applyFill="1" applyFont="1">
      <alignment horizontal="center" readingOrder="0" vertical="center"/>
    </xf>
    <xf borderId="83" fillId="11" fontId="24" numFmtId="0" xfId="0" applyAlignment="1" applyBorder="1" applyFill="1" applyFont="1">
      <alignment horizontal="center" readingOrder="0" vertical="center"/>
    </xf>
    <xf borderId="84" fillId="21" fontId="25" numFmtId="0" xfId="0" applyAlignment="1" applyBorder="1" applyFill="1" applyFont="1">
      <alignment horizontal="center" readingOrder="0" vertical="center"/>
    </xf>
    <xf borderId="85" fillId="9" fontId="26" numFmtId="0" xfId="0" applyAlignment="1" applyBorder="1" applyFill="1" applyFont="1">
      <alignment horizontal="center" readingOrder="0" vertical="center"/>
    </xf>
    <xf borderId="39" fillId="0" fontId="3" numFmtId="0" xfId="0" applyBorder="1" applyFont="1"/>
    <xf borderId="0" fillId="0" fontId="27" numFmtId="0" xfId="0" applyAlignment="1" applyFont="1">
      <alignment horizontal="center" readingOrder="0"/>
    </xf>
    <xf borderId="39" fillId="0" fontId="27" numFmtId="0" xfId="0" applyAlignment="1" applyBorder="1" applyFont="1">
      <alignment horizontal="center" readingOrder="0"/>
    </xf>
    <xf borderId="82" fillId="19" fontId="23" numFmtId="0" xfId="0" applyAlignment="1" applyBorder="1" applyFill="1" applyFont="1">
      <alignment horizontal="center" vertical="center"/>
    </xf>
    <xf borderId="83" fillId="11" fontId="23" numFmtId="0" xfId="0" applyAlignment="1" applyBorder="1" applyFill="1" applyFont="1">
      <alignment horizontal="center" vertical="center"/>
    </xf>
    <xf borderId="84" fillId="21" fontId="25" numFmtId="0" xfId="0" applyAlignment="1" applyBorder="1" applyFill="1" applyFont="1">
      <alignment horizontal="center" vertical="center"/>
    </xf>
    <xf borderId="86" fillId="0" fontId="3" numFmtId="0" xfId="0" applyAlignment="1" applyBorder="1" applyFont="1">
      <alignment horizontal="center" readingOrder="0" textRotation="45" vertical="center"/>
    </xf>
    <xf borderId="47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38" fillId="0" fontId="12" numFmtId="0" xfId="0" applyBorder="1" applyFont="1"/>
    <xf borderId="48" fillId="0" fontId="3" numFmtId="0" xfId="0" applyAlignment="1" applyBorder="1" applyFont="1">
      <alignment horizontal="center" readingOrder="0" vertical="center"/>
    </xf>
    <xf borderId="49" fillId="0" fontId="3" numFmtId="0" xfId="0" applyAlignment="1" applyBorder="1" applyFont="1">
      <alignment horizontal="center" readingOrder="0" vertical="center"/>
    </xf>
    <xf borderId="87" fillId="0" fontId="12" numFmtId="0" xfId="0" applyBorder="1" applyFont="1"/>
    <xf borderId="46" fillId="0" fontId="3" numFmtId="49" xfId="0" applyAlignment="1" applyBorder="1" applyFont="1" applyNumberFormat="1">
      <alignment horizontal="center" vertical="center"/>
    </xf>
    <xf borderId="88" fillId="0" fontId="3" numFmtId="0" xfId="0" applyAlignment="1" applyBorder="1" applyFont="1">
      <alignment horizontal="center" readingOrder="0" textRotation="45" vertical="center"/>
    </xf>
    <xf borderId="47" fillId="0" fontId="12" numFmtId="0" xfId="0" applyBorder="1" applyFont="1"/>
    <xf borderId="48" fillId="0" fontId="12" numFmtId="0" xfId="0" applyBorder="1" applyFont="1"/>
    <xf borderId="49" fillId="0" fontId="12" numFmtId="0" xfId="0" applyBorder="1" applyFont="1"/>
    <xf borderId="46" fillId="0" fontId="3" numFmtId="0" xfId="0" applyAlignment="1" applyBorder="1" applyFont="1">
      <alignment horizontal="center" vertical="center"/>
    </xf>
    <xf borderId="89" fillId="0" fontId="12" numFmtId="0" xfId="0" applyBorder="1" applyFont="1"/>
    <xf borderId="38" fillId="0" fontId="3" numFmtId="0" xfId="0" applyAlignment="1" applyBorder="1" applyFont="1">
      <alignment horizontal="center" readingOrder="0" textRotation="45" vertical="center"/>
    </xf>
    <xf borderId="31" fillId="0" fontId="3" numFmtId="0" xfId="0" applyAlignment="1" applyBorder="1" applyFont="1">
      <alignment horizontal="center"/>
    </xf>
    <xf borderId="46" fillId="0" fontId="3" numFmtId="0" xfId="0" applyBorder="1" applyFont="1"/>
    <xf borderId="30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87" fillId="0" fontId="3" numFmtId="166" xfId="0" applyAlignment="1" applyBorder="1" applyFont="1" applyNumberFormat="1">
      <alignment horizontal="center"/>
    </xf>
    <xf borderId="90" fillId="0" fontId="3" numFmtId="166" xfId="0" applyAlignment="1" applyBorder="1" applyFont="1" applyNumberFormat="1">
      <alignment horizontal="center"/>
    </xf>
    <xf borderId="36" fillId="0" fontId="3" numFmtId="0" xfId="0" applyBorder="1" applyFont="1"/>
    <xf borderId="91" fillId="0" fontId="3" numFmtId="0" xfId="0" applyBorder="1" applyFont="1"/>
    <xf borderId="92" fillId="0" fontId="3" numFmtId="0" xfId="0" applyBorder="1" applyFont="1"/>
    <xf borderId="93" fillId="0" fontId="3" numFmtId="0" xfId="0" applyBorder="1" applyFont="1"/>
    <xf borderId="94" fillId="17" fontId="22" numFmtId="0" xfId="0" applyAlignment="1" applyBorder="1" applyFill="1" applyFont="1">
      <alignment horizontal="center" readingOrder="0" vertical="center"/>
    </xf>
    <xf borderId="95" fillId="19" fontId="23" numFmtId="0" xfId="0" applyAlignment="1" applyBorder="1" applyFill="1" applyFont="1">
      <alignment horizontal="center" readingOrder="0" vertical="center"/>
    </xf>
    <xf borderId="96" fillId="11" fontId="24" numFmtId="0" xfId="0" applyAlignment="1" applyBorder="1" applyFill="1" applyFont="1">
      <alignment horizontal="center" readingOrder="0" vertical="center"/>
    </xf>
    <xf borderId="97" fillId="21" fontId="25" numFmtId="0" xfId="0" applyAlignment="1" applyBorder="1" applyFill="1" applyFont="1">
      <alignment horizontal="center" readingOrder="0" vertical="center"/>
    </xf>
    <xf borderId="71" fillId="9" fontId="26" numFmtId="0" xfId="0" applyAlignment="1" applyBorder="1" applyFill="1" applyFont="1">
      <alignment horizontal="center" readingOrder="0" vertical="center"/>
    </xf>
    <xf borderId="71" fillId="9" fontId="26" numFmtId="0" xfId="0" applyAlignment="1" applyBorder="1" applyFill="1" applyFont="1">
      <alignment horizontal="center" vertical="center"/>
    </xf>
    <xf borderId="95" fillId="19" fontId="23" numFmtId="0" xfId="0" applyAlignment="1" applyBorder="1" applyFill="1" applyFont="1">
      <alignment horizontal="center" vertical="center"/>
    </xf>
    <xf borderId="96" fillId="11" fontId="23" numFmtId="0" xfId="0" applyAlignment="1" applyBorder="1" applyFill="1" applyFont="1">
      <alignment horizontal="center" vertical="center"/>
    </xf>
    <xf borderId="97" fillId="21" fontId="25" numFmtId="0" xfId="0" applyAlignment="1" applyBorder="1" applyFill="1" applyFont="1">
      <alignment horizontal="center" vertical="center"/>
    </xf>
    <xf borderId="36" fillId="0" fontId="19" numFmtId="49" xfId="0" applyAlignment="1" applyBorder="1" applyFont="1" applyNumberFormat="1">
      <alignment horizontal="center"/>
    </xf>
    <xf borderId="36" fillId="0" fontId="19" numFmtId="0" xfId="0" applyAlignment="1" applyBorder="1" applyFont="1">
      <alignment horizontal="center" vertical="center"/>
    </xf>
    <xf borderId="36" fillId="24" fontId="19" numFmtId="0" xfId="0" applyAlignment="1" applyBorder="1" applyFill="1" applyFont="1">
      <alignment horizontal="center" vertical="center"/>
    </xf>
    <xf borderId="98" fillId="0" fontId="3" numFmtId="0" xfId="0" applyAlignment="1" applyBorder="1" applyFont="1">
      <alignment horizontal="center" vertical="center"/>
    </xf>
    <xf borderId="89" fillId="0" fontId="3" numFmtId="0" xfId="0" applyAlignment="1" applyBorder="1" applyFont="1">
      <alignment horizontal="center" vertical="center"/>
    </xf>
    <xf borderId="99" fillId="0" fontId="3" numFmtId="0" xfId="0" applyAlignment="1" applyBorder="1" applyFont="1">
      <alignment horizontal="center" vertical="center"/>
    </xf>
    <xf borderId="80" fillId="10" fontId="2" numFmtId="167" xfId="0" applyAlignment="1" applyBorder="1" applyFill="1" applyFont="1" applyNumberFormat="1">
      <alignment horizontal="center" readingOrder="0" vertical="center"/>
    </xf>
    <xf borderId="100" fillId="9" fontId="26" numFmtId="0" xfId="0" applyAlignment="1" applyBorder="1" applyFill="1" applyFont="1">
      <alignment horizontal="center" readingOrder="0" vertical="center"/>
    </xf>
    <xf borderId="100" fillId="9" fontId="26" numFmtId="0" xfId="0" applyAlignment="1" applyBorder="1" applyFill="1" applyFont="1">
      <alignment horizontal="center" vertical="center"/>
    </xf>
    <xf borderId="94" fillId="17" fontId="22" numFmtId="0" xfId="0" applyAlignment="1" applyBorder="1" applyFill="1" applyFont="1">
      <alignment horizontal="center" vertical="center"/>
    </xf>
    <xf borderId="101" fillId="0" fontId="3" numFmtId="0" xfId="0" applyAlignment="1" applyBorder="1" applyFont="1">
      <alignment horizontal="center" readingOrder="0" vertical="center"/>
    </xf>
    <xf borderId="102" fillId="0" fontId="3" numFmtId="0" xfId="0" applyAlignment="1" applyBorder="1" applyFont="1">
      <alignment horizontal="center" vertical="center"/>
    </xf>
    <xf borderId="103" fillId="0" fontId="3" numFmtId="0" xfId="0" applyAlignment="1" applyBorder="1" applyFont="1">
      <alignment horizontal="center" vertical="center"/>
    </xf>
    <xf borderId="101" fillId="0" fontId="3" numFmtId="0" xfId="0" applyAlignment="1" applyBorder="1" applyFont="1">
      <alignment horizontal="center" vertical="center"/>
    </xf>
    <xf borderId="80" fillId="23" fontId="2" numFmtId="167" xfId="0" applyAlignment="1" applyBorder="1" applyFill="1" applyFont="1" applyNumberFormat="1">
      <alignment horizontal="center" readingOrder="0" vertical="center"/>
    </xf>
    <xf borderId="96" fillId="11" fontId="24" numFmtId="0" xfId="0" applyAlignment="1" applyBorder="1" applyFill="1" applyFont="1">
      <alignment horizontal="center" vertical="center"/>
    </xf>
    <xf borderId="80" fillId="6" fontId="2" numFmtId="167" xfId="0" applyAlignment="1" applyBorder="1" applyFill="1" applyFont="1" applyNumberFormat="1">
      <alignment horizontal="center" readingOrder="0" vertical="center"/>
    </xf>
    <xf borderId="104" fillId="0" fontId="3" numFmtId="0" xfId="0" applyAlignment="1" applyBorder="1" applyFont="1">
      <alignment horizontal="center" vertical="center"/>
    </xf>
    <xf borderId="88" fillId="0" fontId="3" numFmtId="0" xfId="0" applyAlignment="1" applyBorder="1" applyFont="1">
      <alignment horizontal="center" vertical="center"/>
    </xf>
    <xf borderId="105" fillId="0" fontId="3" numFmtId="0" xfId="0" applyAlignment="1" applyBorder="1" applyFont="1">
      <alignment horizontal="center" vertical="center"/>
    </xf>
    <xf borderId="80" fillId="16" fontId="2" numFmtId="167" xfId="0" applyAlignment="1" applyBorder="1" applyFill="1" applyFont="1" applyNumberFormat="1">
      <alignment horizontal="center" readingOrder="0" vertical="center"/>
    </xf>
    <xf borderId="106" fillId="17" fontId="22" numFmtId="0" xfId="0" applyAlignment="1" applyBorder="1" applyFill="1" applyFont="1">
      <alignment horizontal="center" readingOrder="0" vertical="center"/>
    </xf>
    <xf borderId="107" fillId="19" fontId="23" numFmtId="0" xfId="0" applyAlignment="1" applyBorder="1" applyFill="1" applyFont="1">
      <alignment horizontal="center" readingOrder="0" vertical="center"/>
    </xf>
    <xf borderId="108" fillId="11" fontId="24" numFmtId="0" xfId="0" applyAlignment="1" applyBorder="1" applyFill="1" applyFont="1">
      <alignment horizontal="center" vertical="center"/>
    </xf>
    <xf borderId="109" fillId="21" fontId="25" numFmtId="0" xfId="0" applyAlignment="1" applyBorder="1" applyFill="1" applyFont="1">
      <alignment horizontal="center" vertical="center"/>
    </xf>
    <xf borderId="110" fillId="9" fontId="26" numFmtId="0" xfId="0" applyAlignment="1" applyBorder="1" applyFill="1" applyFont="1">
      <alignment horizontal="center" vertical="center"/>
    </xf>
    <xf borderId="106" fillId="17" fontId="22" numFmtId="0" xfId="0" applyAlignment="1" applyBorder="1" applyFill="1" applyFont="1">
      <alignment horizontal="center" vertical="center"/>
    </xf>
    <xf borderId="107" fillId="19" fontId="23" numFmtId="0" xfId="0" applyAlignment="1" applyBorder="1" applyFill="1" applyFont="1">
      <alignment horizontal="center" vertical="center"/>
    </xf>
    <xf borderId="108" fillId="11" fontId="23" numFmtId="0" xfId="0" applyAlignment="1" applyBorder="1" applyFill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14" fillId="5" fontId="2" numFmtId="0" xfId="0" applyAlignment="1" applyBorder="1" applyFill="1" applyFont="1">
      <alignment horizontal="center" vertical="center"/>
    </xf>
    <xf borderId="46" fillId="0" fontId="3" numFmtId="0" xfId="0" applyAlignment="1" applyBorder="1" applyFont="1">
      <alignment horizontal="center" readingOrder="0" vertical="center"/>
    </xf>
    <xf borderId="22" fillId="26" fontId="3" numFmtId="0" xfId="0" applyAlignment="1" applyBorder="1" applyFill="1" applyFont="1">
      <alignment horizontal="center" vertical="center"/>
    </xf>
    <xf borderId="111" fillId="0" fontId="19" numFmtId="0" xfId="0" applyAlignment="1" applyBorder="1" applyFont="1">
      <alignment horizontal="center" vertical="center"/>
    </xf>
    <xf borderId="83" fillId="11" fontId="24" numFmtId="0" xfId="0" applyAlignment="1" applyBorder="1" applyFill="1" applyFont="1">
      <alignment horizontal="center" vertical="center"/>
    </xf>
    <xf borderId="111" fillId="0" fontId="3" numFmtId="0" xfId="0" applyAlignment="1" applyBorder="1" applyFont="1">
      <alignment horizontal="center" vertical="center"/>
    </xf>
    <xf borderId="112" fillId="0" fontId="3" numFmtId="0" xfId="0" applyAlignment="1" applyBorder="1" applyFont="1">
      <alignment horizontal="center" vertical="center"/>
    </xf>
    <xf borderId="98" fillId="0" fontId="28" numFmtId="0" xfId="0" applyAlignment="1" applyBorder="1" applyFont="1">
      <alignment horizontal="center" vertical="center"/>
    </xf>
    <xf borderId="113" fillId="0" fontId="3" numFmtId="0" xfId="0" applyAlignment="1" applyBorder="1" applyFont="1">
      <alignment horizontal="center" vertical="center"/>
    </xf>
    <xf borderId="114" fillId="0" fontId="3" numFmtId="0" xfId="0" applyAlignment="1" applyBorder="1" applyFont="1">
      <alignment horizontal="center" vertical="center"/>
    </xf>
    <xf borderId="115" fillId="0" fontId="3" numFmtId="0" xfId="0" applyAlignment="1" applyBorder="1" applyFont="1">
      <alignment horizontal="center" vertical="center"/>
    </xf>
    <xf borderId="116" fillId="0" fontId="3" numFmtId="0" xfId="0" applyAlignment="1" applyBorder="1" applyFont="1">
      <alignment horizontal="center" vertical="center"/>
    </xf>
    <xf borderId="117" fillId="0" fontId="3" numFmtId="0" xfId="0" applyAlignment="1" applyBorder="1" applyFont="1">
      <alignment horizontal="center" vertical="center"/>
    </xf>
    <xf borderId="118" fillId="0" fontId="3" numFmtId="0" xfId="0" applyAlignment="1" applyBorder="1" applyFont="1">
      <alignment horizontal="center" vertical="center"/>
    </xf>
    <xf borderId="109" fillId="21" fontId="25" numFmtId="0" xfId="0" applyAlignment="1" applyBorder="1" applyFill="1" applyFont="1">
      <alignment horizontal="center" readingOrder="0" vertical="center"/>
    </xf>
    <xf borderId="110" fillId="9" fontId="26" numFmtId="0" xfId="0" applyAlignment="1" applyBorder="1" applyFill="1" applyFont="1">
      <alignment horizontal="center" readingOrder="0" vertical="center"/>
    </xf>
    <xf borderId="108" fillId="11" fontId="24" numFmtId="0" xfId="0" applyAlignment="1" applyBorder="1" applyFill="1" applyFont="1">
      <alignment horizontal="center" readingOrder="0" vertical="center"/>
    </xf>
    <xf borderId="119" fillId="5" fontId="2" numFmtId="0" xfId="0" applyAlignment="1" applyBorder="1" applyFill="1" applyFont="1">
      <alignment horizontal="center" vertical="center"/>
    </xf>
    <xf borderId="120" fillId="26" fontId="3" numFmtId="0" xfId="0" applyAlignment="1" applyBorder="1" applyFill="1" applyFont="1">
      <alignment horizontal="center" vertical="center"/>
    </xf>
    <xf borderId="80" fillId="0" fontId="3" numFmtId="3" xfId="0" applyAlignment="1" applyBorder="1" applyFont="1" applyNumberFormat="1">
      <alignment horizontal="center" readingOrder="0" vertical="center"/>
    </xf>
    <xf borderId="85" fillId="9" fontId="3" numFmtId="0" xfId="0" applyAlignment="1" applyBorder="1" applyFill="1" applyFont="1">
      <alignment horizontal="center" vertical="center"/>
    </xf>
    <xf borderId="121" fillId="9" fontId="3" numFmtId="0" xfId="0" applyAlignment="1" applyBorder="1" applyFill="1" applyFont="1">
      <alignment horizontal="center" vertical="center"/>
    </xf>
    <xf borderId="71" fillId="9" fontId="3" numFmtId="0" xfId="0" applyAlignment="1" applyBorder="1" applyFill="1" applyFont="1">
      <alignment horizontal="center" vertical="center"/>
    </xf>
    <xf borderId="100" fillId="9" fontId="3" numFmtId="0" xfId="0" applyAlignment="1" applyBorder="1" applyFill="1" applyFont="1">
      <alignment horizontal="center" vertical="center"/>
    </xf>
    <xf borderId="110" fillId="9" fontId="3" numFmtId="0" xfId="0" applyAlignment="1" applyBorder="1" applyFill="1" applyFont="1">
      <alignment horizontal="center" vertical="center"/>
    </xf>
    <xf borderId="14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vertical="center"/>
    </xf>
    <xf borderId="122" fillId="0" fontId="3" numFmtId="0" xfId="0" applyAlignment="1" applyBorder="1" applyFont="1">
      <alignment horizontal="center" shrinkToFit="0" vertical="center" wrapText="1"/>
    </xf>
    <xf borderId="123" fillId="0" fontId="12" numFmtId="0" xfId="0" applyBorder="1" applyFont="1"/>
    <xf borderId="122" fillId="0" fontId="12" numFmtId="0" xfId="0" applyBorder="1" applyFont="1"/>
    <xf borderId="20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  <dxf>
      <font>
        <color rgb="FFD0E0E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10</v>
      </c>
      <c r="B2" s="7">
        <v>85.0</v>
      </c>
      <c r="C2" s="8">
        <v>90.0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15</v>
      </c>
      <c r="B3" s="7">
        <v>115.0</v>
      </c>
      <c r="C3" s="8">
        <v>120.0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40</v>
      </c>
      <c r="B4" s="7">
        <v>80.0</v>
      </c>
      <c r="C4" s="1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42</v>
      </c>
      <c r="B5" s="7">
        <v>110.0</v>
      </c>
      <c r="C5" s="1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46</v>
      </c>
      <c r="B6" s="7">
        <v>90.0</v>
      </c>
      <c r="C6" s="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48</v>
      </c>
      <c r="B7" s="7">
        <v>115.0</v>
      </c>
      <c r="C7" s="1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51</v>
      </c>
      <c r="B8" s="7">
        <v>90.0</v>
      </c>
      <c r="C8" s="1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52</v>
      </c>
      <c r="B9" s="7">
        <v>115.0</v>
      </c>
      <c r="C9" s="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55</v>
      </c>
      <c r="B10" s="7">
        <v>140.0</v>
      </c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1" t="s">
        <v>56</v>
      </c>
      <c r="B11" s="7">
        <v>130.0</v>
      </c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5" t="s">
        <v>59</v>
      </c>
      <c r="B12" s="7">
        <v>90.0</v>
      </c>
      <c r="C12" s="8">
        <v>95.0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5" t="s">
        <v>61</v>
      </c>
      <c r="B13" s="7">
        <v>60.0</v>
      </c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5" t="s">
        <v>63</v>
      </c>
      <c r="B14" s="7">
        <v>30.0</v>
      </c>
      <c r="C14" s="1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5" t="s">
        <v>64</v>
      </c>
      <c r="B15" s="43"/>
      <c r="C15" s="1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5" t="s">
        <v>67</v>
      </c>
      <c r="B16" s="43"/>
      <c r="C16" s="1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5" t="s">
        <v>68</v>
      </c>
      <c r="B17" s="7">
        <v>90.0</v>
      </c>
      <c r="C17" s="1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5" t="s">
        <v>70</v>
      </c>
      <c r="B18" s="7">
        <v>25.0</v>
      </c>
      <c r="C18" s="1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5" t="s">
        <v>71</v>
      </c>
      <c r="B19" s="43"/>
      <c r="C19" s="1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5" t="s">
        <v>73</v>
      </c>
      <c r="B20" s="43"/>
      <c r="C20" s="1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5" t="s">
        <v>80</v>
      </c>
      <c r="B21" s="7">
        <v>50.0</v>
      </c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5" t="s">
        <v>81</v>
      </c>
      <c r="B22" s="7">
        <v>30.0</v>
      </c>
      <c r="C22" s="1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5" t="s">
        <v>82</v>
      </c>
      <c r="B23" s="7">
        <v>25.0</v>
      </c>
      <c r="C23" s="1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5" t="s">
        <v>84</v>
      </c>
      <c r="B24" s="43"/>
      <c r="C24" s="1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5" t="s">
        <v>86</v>
      </c>
      <c r="B25" s="7"/>
      <c r="C25" s="1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5" t="s">
        <v>89</v>
      </c>
      <c r="B26" s="7">
        <v>40.0</v>
      </c>
      <c r="C26" s="1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5" t="s">
        <v>91</v>
      </c>
      <c r="B27" s="43"/>
      <c r="C27" s="1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5" t="s">
        <v>93</v>
      </c>
      <c r="B28" s="43"/>
      <c r="C28" s="1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5" t="s">
        <v>94</v>
      </c>
      <c r="B29" s="43"/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5" t="s">
        <v>95</v>
      </c>
      <c r="B30" s="7"/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75" t="s">
        <v>96</v>
      </c>
      <c r="B31" s="7">
        <v>180.0</v>
      </c>
      <c r="C31" s="1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75" t="s">
        <v>99</v>
      </c>
      <c r="B32" s="7">
        <v>120.0</v>
      </c>
      <c r="C32" s="1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79" t="s">
        <v>101</v>
      </c>
      <c r="B33" s="7">
        <v>30.0</v>
      </c>
      <c r="C33" s="1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6" t="s">
        <v>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6" t="s">
        <v>13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" t="s">
        <v>23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6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6" t="s">
        <v>45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6" t="s">
        <v>47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6" t="s">
        <v>49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6" t="s">
        <v>53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1" t="s">
        <v>108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37.63"/>
  </cols>
  <sheetData>
    <row r="1" ht="37.5" customHeight="1">
      <c r="A1" s="2" t="s">
        <v>1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7.5" customHeight="1">
      <c r="A2" s="2" t="s">
        <v>13</v>
      </c>
      <c r="B2" s="4" t="s">
        <v>14</v>
      </c>
      <c r="C2" s="4" t="s">
        <v>16</v>
      </c>
      <c r="D2" s="4" t="s">
        <v>18</v>
      </c>
      <c r="E2" s="4" t="s">
        <v>19</v>
      </c>
      <c r="F2" s="4" t="s">
        <v>20</v>
      </c>
      <c r="G2" s="4" t="s">
        <v>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7.5" customHeight="1">
      <c r="A3" s="2" t="s">
        <v>23</v>
      </c>
      <c r="B3" s="4" t="s">
        <v>24</v>
      </c>
      <c r="C3" s="4" t="s">
        <v>25</v>
      </c>
      <c r="D3" s="4" t="s">
        <v>26</v>
      </c>
      <c r="E3" s="4" t="s">
        <v>29</v>
      </c>
      <c r="F3" s="4" t="s">
        <v>30</v>
      </c>
      <c r="G3" s="4" t="s">
        <v>32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7.5" customHeight="1">
      <c r="A4" s="15" t="s">
        <v>38</v>
      </c>
      <c r="B4" s="18"/>
      <c r="C4" s="18"/>
      <c r="D4" s="18"/>
      <c r="E4" s="18"/>
      <c r="F4" s="18"/>
      <c r="G4" s="1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7.5" customHeight="1">
      <c r="A5" s="15" t="s">
        <v>45</v>
      </c>
      <c r="B5" s="18"/>
      <c r="C5" s="18"/>
      <c r="D5" s="18"/>
      <c r="E5" s="18"/>
      <c r="F5" s="18"/>
      <c r="G5" s="1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7.5" customHeight="1">
      <c r="A6" s="15" t="s">
        <v>47</v>
      </c>
      <c r="B6" s="18"/>
      <c r="C6" s="18"/>
      <c r="D6" s="18"/>
      <c r="E6" s="18"/>
      <c r="F6" s="18"/>
      <c r="G6" s="1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7.5" customHeight="1">
      <c r="A7" s="24" t="s">
        <v>49</v>
      </c>
      <c r="B7" s="18"/>
      <c r="C7" s="18"/>
      <c r="D7" s="18"/>
      <c r="E7" s="18"/>
      <c r="F7" s="18"/>
      <c r="G7" s="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7.5" customHeight="1">
      <c r="A8" s="24" t="s">
        <v>53</v>
      </c>
      <c r="B8" s="18"/>
      <c r="C8" s="18"/>
      <c r="D8" s="18"/>
      <c r="E8" s="18"/>
      <c r="F8" s="18"/>
      <c r="G8" s="1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7.5" customHeight="1">
      <c r="A9" s="24" t="s">
        <v>58</v>
      </c>
      <c r="B9" s="18"/>
      <c r="C9" s="18"/>
      <c r="D9" s="18"/>
      <c r="E9" s="18"/>
      <c r="F9" s="18"/>
      <c r="G9" s="1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0" t="s">
        <v>11</v>
      </c>
    </row>
    <row r="2">
      <c r="A2" s="12" t="s">
        <v>17</v>
      </c>
      <c r="C2" s="12" t="s">
        <v>22</v>
      </c>
      <c r="D2" s="12" t="s">
        <v>27</v>
      </c>
      <c r="E2" s="12" t="s">
        <v>31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37</v>
      </c>
      <c r="K2" s="12" t="s">
        <v>39</v>
      </c>
      <c r="L2" s="12" t="s">
        <v>41</v>
      </c>
    </row>
    <row r="3">
      <c r="A3" s="20"/>
      <c r="B3" s="21" t="s">
        <v>43</v>
      </c>
      <c r="C3" s="23">
        <v>21.0</v>
      </c>
      <c r="D3" s="23">
        <v>23.0</v>
      </c>
      <c r="E3" s="23">
        <v>26.0</v>
      </c>
      <c r="F3" s="23">
        <v>18.0</v>
      </c>
      <c r="G3" s="23">
        <v>12.0</v>
      </c>
      <c r="H3" s="23">
        <v>0.0</v>
      </c>
      <c r="I3" s="23">
        <v>-1.0</v>
      </c>
      <c r="J3" s="23">
        <v>-2.0</v>
      </c>
      <c r="K3" s="23">
        <v>2.0</v>
      </c>
      <c r="L3" s="23">
        <v>3.0</v>
      </c>
    </row>
    <row r="4">
      <c r="A4" s="20"/>
      <c r="B4" s="21" t="s">
        <v>50</v>
      </c>
      <c r="C4" s="23">
        <v>20.0</v>
      </c>
      <c r="D4" s="23">
        <v>22.0</v>
      </c>
      <c r="E4" s="23">
        <v>25.0</v>
      </c>
      <c r="F4" s="23">
        <v>18.0</v>
      </c>
      <c r="G4" s="25">
        <v>15.0</v>
      </c>
      <c r="H4" s="23">
        <v>0.0</v>
      </c>
      <c r="I4" s="23">
        <v>-1.0</v>
      </c>
      <c r="J4" s="23">
        <v>-2.0</v>
      </c>
      <c r="K4" s="23">
        <v>1.0</v>
      </c>
      <c r="L4" s="25">
        <v>3.0</v>
      </c>
    </row>
    <row r="5">
      <c r="A5" s="26"/>
      <c r="B5" s="27" t="s">
        <v>54</v>
      </c>
      <c r="C5" s="28">
        <v>28.0</v>
      </c>
      <c r="D5" s="28">
        <v>22.0</v>
      </c>
      <c r="E5" s="28">
        <v>32.0</v>
      </c>
      <c r="F5" s="29">
        <v>18.0</v>
      </c>
      <c r="G5" s="30"/>
      <c r="H5" s="32">
        <v>0.0</v>
      </c>
      <c r="I5" s="28">
        <v>2.0</v>
      </c>
      <c r="J5" s="28">
        <v>-3.0</v>
      </c>
      <c r="K5" s="29">
        <v>3.0</v>
      </c>
      <c r="L5" s="30"/>
    </row>
    <row r="6">
      <c r="A6" s="26"/>
      <c r="B6" s="27" t="s">
        <v>57</v>
      </c>
      <c r="C6" s="28">
        <v>22.0</v>
      </c>
      <c r="D6" s="28">
        <v>28.0</v>
      </c>
      <c r="E6" s="28">
        <v>32.0</v>
      </c>
      <c r="F6" s="29">
        <v>18.0</v>
      </c>
      <c r="G6" s="30"/>
      <c r="H6" s="32">
        <v>2.0</v>
      </c>
      <c r="I6" s="28">
        <v>0.0</v>
      </c>
      <c r="J6" s="28">
        <v>-3.0</v>
      </c>
      <c r="K6" s="29">
        <v>3.0</v>
      </c>
      <c r="L6" s="30"/>
      <c r="M6" s="34"/>
      <c r="N6" s="34"/>
      <c r="O6" s="34"/>
      <c r="P6" s="34"/>
      <c r="Q6" s="34"/>
      <c r="R6" s="34"/>
    </row>
    <row r="7">
      <c r="A7" s="26"/>
      <c r="B7" s="27" t="s">
        <v>60</v>
      </c>
      <c r="C7" s="28">
        <v>24.0</v>
      </c>
      <c r="D7" s="28">
        <v>26.0</v>
      </c>
      <c r="E7" s="28">
        <v>28.0</v>
      </c>
      <c r="F7" s="36">
        <v>22.0</v>
      </c>
      <c r="G7" s="30"/>
      <c r="H7" s="32">
        <v>1.0</v>
      </c>
      <c r="I7" s="28">
        <v>-1.0</v>
      </c>
      <c r="J7" s="28">
        <v>-2.0</v>
      </c>
      <c r="K7" s="36">
        <v>2.0</v>
      </c>
      <c r="L7" s="30"/>
      <c r="M7" s="34"/>
      <c r="N7" s="34"/>
      <c r="O7" s="34"/>
      <c r="P7" s="34"/>
      <c r="Q7" s="34"/>
      <c r="R7" s="34"/>
    </row>
    <row r="8">
      <c r="A8" s="37"/>
      <c r="B8" s="38" t="s">
        <v>62</v>
      </c>
      <c r="C8" s="39">
        <v>20.0</v>
      </c>
      <c r="D8" s="39">
        <v>30.0</v>
      </c>
      <c r="E8" s="40">
        <v>50.0</v>
      </c>
      <c r="F8" s="41"/>
      <c r="G8" s="30"/>
      <c r="H8" s="42">
        <v>4.0</v>
      </c>
      <c r="I8" s="39">
        <v>2.0</v>
      </c>
      <c r="J8" s="40">
        <v>-3.0</v>
      </c>
      <c r="K8" s="30"/>
      <c r="L8" s="30"/>
      <c r="Q8" s="34"/>
      <c r="R8" s="34"/>
    </row>
    <row r="9">
      <c r="A9" s="37"/>
      <c r="B9" s="38" t="s">
        <v>65</v>
      </c>
      <c r="C9" s="39">
        <v>25.0</v>
      </c>
      <c r="D9" s="39">
        <v>35.0</v>
      </c>
      <c r="E9" s="40">
        <v>40.0</v>
      </c>
      <c r="F9" s="41"/>
      <c r="G9" s="30"/>
      <c r="H9" s="42">
        <v>3.0</v>
      </c>
      <c r="I9" s="39">
        <v>1.0</v>
      </c>
      <c r="J9" s="40">
        <v>-2.0</v>
      </c>
      <c r="K9" s="30"/>
      <c r="L9" s="30"/>
      <c r="Q9" s="34"/>
      <c r="R9" s="34"/>
    </row>
    <row r="10">
      <c r="A10" s="37"/>
      <c r="B10" s="38" t="s">
        <v>66</v>
      </c>
      <c r="C10" s="39">
        <v>20.0</v>
      </c>
      <c r="D10" s="39">
        <v>35.0</v>
      </c>
      <c r="E10" s="44">
        <v>45.0</v>
      </c>
      <c r="F10" s="41"/>
      <c r="G10" s="30"/>
      <c r="H10" s="42">
        <v>4.0</v>
      </c>
      <c r="I10" s="39">
        <v>2.0</v>
      </c>
      <c r="J10" s="44">
        <v>-3.0</v>
      </c>
      <c r="K10" s="30"/>
      <c r="L10" s="30"/>
      <c r="Q10" s="34"/>
      <c r="R10" s="34"/>
    </row>
    <row r="11">
      <c r="A11" s="45"/>
      <c r="B11" s="46" t="s">
        <v>69</v>
      </c>
      <c r="C11" s="47">
        <v>40.0</v>
      </c>
      <c r="D11" s="48">
        <v>60.0</v>
      </c>
      <c r="E11" s="41"/>
      <c r="F11" s="41"/>
      <c r="G11" s="30"/>
      <c r="H11" s="49">
        <v>5.0</v>
      </c>
      <c r="I11" s="48">
        <v>-3.0</v>
      </c>
      <c r="J11" s="30"/>
      <c r="K11" s="30"/>
      <c r="L11" s="30"/>
      <c r="Q11" s="34"/>
      <c r="R11" s="34"/>
    </row>
    <row r="12">
      <c r="A12" s="50"/>
      <c r="B12" s="51" t="s">
        <v>72</v>
      </c>
      <c r="C12" s="47">
        <v>45.0</v>
      </c>
      <c r="D12" s="48">
        <v>55.0</v>
      </c>
      <c r="E12" s="41"/>
      <c r="F12" s="41"/>
      <c r="G12" s="30"/>
      <c r="H12" s="49">
        <v>3.0</v>
      </c>
      <c r="I12" s="48">
        <v>-3.0</v>
      </c>
      <c r="J12" s="30"/>
      <c r="K12" s="30"/>
      <c r="L12" s="30"/>
      <c r="Q12" s="34"/>
      <c r="R12" s="34"/>
    </row>
    <row r="13">
      <c r="A13" s="52" t="s">
        <v>74</v>
      </c>
      <c r="B13" s="53" t="s">
        <v>75</v>
      </c>
      <c r="C13" s="53" t="s">
        <v>76</v>
      </c>
      <c r="D13" s="53" t="s">
        <v>77</v>
      </c>
      <c r="E13" s="53" t="s">
        <v>78</v>
      </c>
      <c r="F13" s="53" t="s">
        <v>79</v>
      </c>
      <c r="Q13" s="34"/>
      <c r="R13" s="34"/>
    </row>
    <row r="14">
      <c r="A14" s="54">
        <v>3.0</v>
      </c>
      <c r="B14" s="54">
        <v>0.35</v>
      </c>
      <c r="C14" s="54">
        <v>0.45</v>
      </c>
      <c r="D14" s="54">
        <v>0.2</v>
      </c>
      <c r="E14" s="55"/>
      <c r="F14" s="55"/>
      <c r="Q14" s="34"/>
      <c r="R14" s="34"/>
    </row>
    <row r="15">
      <c r="A15" s="56">
        <v>4.0</v>
      </c>
      <c r="B15" s="56">
        <v>0.26</v>
      </c>
      <c r="C15" s="56">
        <v>0.24</v>
      </c>
      <c r="D15" s="56">
        <v>0.28</v>
      </c>
      <c r="E15" s="56">
        <v>0.22</v>
      </c>
      <c r="F15" s="55"/>
      <c r="Q15" s="34"/>
      <c r="R15" s="34"/>
    </row>
    <row r="16">
      <c r="A16" s="57">
        <v>5.0</v>
      </c>
      <c r="B16" s="57">
        <v>0.2</v>
      </c>
      <c r="C16" s="57">
        <v>0.15</v>
      </c>
      <c r="D16" s="57">
        <v>0.3</v>
      </c>
      <c r="E16" s="57">
        <v>0.1</v>
      </c>
      <c r="F16" s="57">
        <v>0.25</v>
      </c>
      <c r="Q16" s="34"/>
      <c r="R16" s="34"/>
    </row>
    <row r="17">
      <c r="A17" s="58" t="s">
        <v>83</v>
      </c>
      <c r="B17" s="59"/>
      <c r="C17" s="60"/>
      <c r="D17" s="61" t="s">
        <v>85</v>
      </c>
      <c r="E17" s="62" t="s">
        <v>12</v>
      </c>
      <c r="F17" s="63" t="s">
        <v>87</v>
      </c>
      <c r="G17" s="65" t="s">
        <v>88</v>
      </c>
      <c r="K17" s="66"/>
      <c r="L17" s="66"/>
      <c r="Q17" s="67"/>
      <c r="R17" s="67"/>
      <c r="S17" s="66"/>
      <c r="T17" s="66"/>
      <c r="U17" s="66"/>
      <c r="V17" s="66"/>
      <c r="W17" s="66"/>
      <c r="X17" s="68"/>
    </row>
    <row r="18">
      <c r="A18" s="70">
        <v>250.0</v>
      </c>
      <c r="B18" s="71">
        <v>300.0</v>
      </c>
      <c r="C18" s="72">
        <v>250.0</v>
      </c>
      <c r="D18" s="73">
        <f t="shared" ref="D18:D21" si="1">A18+B18+C18</f>
        <v>800</v>
      </c>
      <c r="E18" s="74" t="s">
        <v>97</v>
      </c>
      <c r="F18" s="76">
        <v>46087.0</v>
      </c>
      <c r="G18" s="77" t="s">
        <v>98</v>
      </c>
      <c r="K18" s="66"/>
      <c r="L18" s="66"/>
      <c r="Q18" s="67"/>
      <c r="R18" s="67"/>
      <c r="S18" s="66"/>
      <c r="T18" s="66"/>
      <c r="U18" s="66"/>
      <c r="V18" s="66"/>
      <c r="W18" s="66"/>
      <c r="X18" s="68"/>
    </row>
    <row r="19">
      <c r="A19" s="70">
        <v>300.0</v>
      </c>
      <c r="B19" s="71">
        <v>250.0</v>
      </c>
      <c r="C19" s="72">
        <v>300.0</v>
      </c>
      <c r="D19" s="73">
        <f t="shared" si="1"/>
        <v>850</v>
      </c>
      <c r="E19" s="74" t="s">
        <v>100</v>
      </c>
      <c r="F19" s="76">
        <v>46087.0</v>
      </c>
      <c r="G19" s="78">
        <v>46380.0</v>
      </c>
      <c r="K19" s="66"/>
      <c r="L19" s="66"/>
      <c r="Q19" s="67"/>
      <c r="R19" s="67"/>
      <c r="S19" s="66"/>
      <c r="T19" s="66"/>
      <c r="U19" s="66"/>
      <c r="V19" s="66"/>
      <c r="W19" s="66"/>
      <c r="X19" s="68"/>
    </row>
    <row r="20">
      <c r="A20" s="70">
        <v>300.0</v>
      </c>
      <c r="B20" s="71">
        <v>300.0</v>
      </c>
      <c r="C20" s="72">
        <v>300.0</v>
      </c>
      <c r="D20" s="73">
        <f t="shared" si="1"/>
        <v>900</v>
      </c>
      <c r="E20" s="74" t="s">
        <v>102</v>
      </c>
      <c r="F20" s="76">
        <v>46057.0</v>
      </c>
      <c r="G20" s="78">
        <v>46315.0</v>
      </c>
      <c r="K20" s="66"/>
      <c r="L20" s="66"/>
      <c r="Q20" s="67"/>
      <c r="R20" s="67"/>
      <c r="S20" s="66"/>
      <c r="T20" s="66"/>
      <c r="U20" s="66"/>
      <c r="V20" s="66"/>
      <c r="W20" s="66"/>
      <c r="X20" s="68"/>
    </row>
    <row r="21">
      <c r="A21" s="70">
        <v>350.0</v>
      </c>
      <c r="B21" s="71">
        <v>300.0</v>
      </c>
      <c r="C21" s="72">
        <v>350.0</v>
      </c>
      <c r="D21" s="73">
        <f t="shared" si="1"/>
        <v>1000</v>
      </c>
      <c r="E21" s="74" t="s">
        <v>103</v>
      </c>
      <c r="F21" s="76">
        <v>46024.0</v>
      </c>
      <c r="G21" s="78">
        <v>46122.0</v>
      </c>
      <c r="K21" s="66"/>
      <c r="L21" s="66"/>
      <c r="Q21" s="67"/>
      <c r="R21" s="67"/>
      <c r="S21" s="66"/>
      <c r="T21" s="66"/>
      <c r="U21" s="66"/>
      <c r="V21" s="66"/>
      <c r="W21" s="66"/>
      <c r="X21" s="68"/>
    </row>
    <row r="22">
      <c r="A22" s="80" t="s">
        <v>104</v>
      </c>
      <c r="B22" s="59"/>
      <c r="C22" s="60"/>
      <c r="D22" s="81" t="s">
        <v>85</v>
      </c>
      <c r="E22" s="34"/>
      <c r="F22" s="82" t="s">
        <v>105</v>
      </c>
      <c r="G22" s="83" t="s">
        <v>106</v>
      </c>
      <c r="H22" s="66"/>
      <c r="I22" s="66"/>
      <c r="J22" s="66"/>
      <c r="K22" s="66"/>
      <c r="L22" s="66"/>
      <c r="Q22" s="67"/>
      <c r="R22" s="67"/>
      <c r="S22" s="84"/>
      <c r="T22" s="84"/>
      <c r="U22" s="84"/>
      <c r="V22" s="84"/>
      <c r="W22" s="84"/>
      <c r="X22" s="85"/>
    </row>
    <row r="23">
      <c r="A23" s="86">
        <v>250.0</v>
      </c>
      <c r="B23" s="87">
        <v>250.0</v>
      </c>
      <c r="C23" s="88">
        <v>200.0</v>
      </c>
      <c r="D23" s="89">
        <f t="shared" ref="D23:D26" si="2">A23+B23+C23</f>
        <v>700</v>
      </c>
      <c r="E23" s="90" t="s">
        <v>107</v>
      </c>
      <c r="F23" s="91">
        <v>6.0</v>
      </c>
      <c r="G23" s="92">
        <v>4.0</v>
      </c>
      <c r="H23" s="66"/>
      <c r="I23" s="66"/>
      <c r="J23" s="66"/>
      <c r="K23" s="66"/>
      <c r="L23" s="66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4"/>
    </row>
    <row r="24">
      <c r="A24" s="86">
        <v>300.0</v>
      </c>
      <c r="B24" s="87">
        <v>250.0</v>
      </c>
      <c r="C24" s="88">
        <v>250.0</v>
      </c>
      <c r="D24" s="89">
        <f t="shared" si="2"/>
        <v>800</v>
      </c>
      <c r="F24" s="91">
        <v>5.0</v>
      </c>
      <c r="G24" s="92">
        <v>3.0</v>
      </c>
      <c r="H24" s="66"/>
      <c r="I24" s="66"/>
      <c r="J24" s="66"/>
      <c r="K24" s="66"/>
      <c r="L24" s="66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4"/>
    </row>
    <row r="25">
      <c r="A25" s="86">
        <v>300.0</v>
      </c>
      <c r="B25" s="87">
        <v>300.0</v>
      </c>
      <c r="C25" s="88">
        <v>250.0</v>
      </c>
      <c r="D25" s="89">
        <f t="shared" si="2"/>
        <v>850</v>
      </c>
      <c r="F25" s="91">
        <v>6.0</v>
      </c>
      <c r="G25" s="92">
        <v>4.0</v>
      </c>
      <c r="H25" s="66"/>
      <c r="I25" s="66"/>
      <c r="J25" s="66"/>
      <c r="K25" s="66"/>
      <c r="L25" s="66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4"/>
    </row>
    <row r="26">
      <c r="A26" s="95">
        <v>300.0</v>
      </c>
      <c r="B26" s="96">
        <v>300.0</v>
      </c>
      <c r="C26" s="97">
        <v>300.0</v>
      </c>
      <c r="D26" s="98">
        <f t="shared" si="2"/>
        <v>900</v>
      </c>
      <c r="F26" s="91">
        <v>4.0</v>
      </c>
      <c r="G26" s="92">
        <v>2.0</v>
      </c>
      <c r="H26" s="66"/>
      <c r="I26" s="66"/>
      <c r="J26" s="66"/>
      <c r="K26" s="66"/>
      <c r="L26" s="66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4"/>
    </row>
    <row r="27">
      <c r="A27" s="99" t="s">
        <v>109</v>
      </c>
      <c r="B27" s="100"/>
      <c r="C27" s="101"/>
      <c r="D27" s="102" t="s">
        <v>85</v>
      </c>
      <c r="E27" s="66"/>
      <c r="F27" s="66"/>
      <c r="G27" s="66"/>
      <c r="H27" s="66"/>
      <c r="I27" s="66"/>
      <c r="J27" s="66"/>
      <c r="K27" s="66"/>
      <c r="L27" s="66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4"/>
    </row>
    <row r="28">
      <c r="A28" s="103">
        <v>250.0</v>
      </c>
      <c r="B28" s="104"/>
      <c r="C28" s="105">
        <v>300.0</v>
      </c>
      <c r="D28" s="106">
        <f t="shared" ref="D28:D31" si="3">A28+C28</f>
        <v>550</v>
      </c>
      <c r="E28" s="66"/>
      <c r="F28" s="66"/>
      <c r="G28" s="66"/>
      <c r="H28" s="66"/>
      <c r="I28" s="66"/>
      <c r="J28" s="66"/>
      <c r="K28" s="66"/>
      <c r="L28" s="66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8"/>
    </row>
    <row r="29">
      <c r="A29" s="103">
        <v>300.0</v>
      </c>
      <c r="B29" s="104"/>
      <c r="C29" s="105">
        <v>300.0</v>
      </c>
      <c r="D29" s="106">
        <f t="shared" si="3"/>
        <v>600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</row>
    <row r="30">
      <c r="A30" s="103">
        <v>350.0</v>
      </c>
      <c r="B30" s="104"/>
      <c r="C30" s="105">
        <v>300.0</v>
      </c>
      <c r="D30" s="106">
        <f t="shared" si="3"/>
        <v>650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</row>
    <row r="31">
      <c r="A31" s="103">
        <v>350.0</v>
      </c>
      <c r="B31" s="104"/>
      <c r="C31" s="105">
        <v>350.0</v>
      </c>
      <c r="D31" s="106">
        <f t="shared" si="3"/>
        <v>700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</row>
    <row r="32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</row>
    <row r="34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</row>
  </sheetData>
  <mergeCells count="6">
    <mergeCell ref="A1:L1"/>
    <mergeCell ref="A2:B2"/>
    <mergeCell ref="A17:C17"/>
    <mergeCell ref="A22:C22"/>
    <mergeCell ref="E23:E26"/>
    <mergeCell ref="A27:C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  <c r="B1" s="11">
        <v>0.55</v>
      </c>
      <c r="C1" s="11">
        <v>0.6</v>
      </c>
      <c r="D1" s="11">
        <v>0.65</v>
      </c>
      <c r="E1" s="11">
        <v>0.7</v>
      </c>
      <c r="F1" s="11">
        <v>0.75</v>
      </c>
      <c r="G1" s="11">
        <v>0.8</v>
      </c>
      <c r="H1" s="11">
        <v>0.85</v>
      </c>
      <c r="I1" s="11">
        <v>0.900000000000001</v>
      </c>
      <c r="J1" s="11">
        <v>0.950000000000001</v>
      </c>
      <c r="K1" s="11">
        <v>1.0</v>
      </c>
      <c r="L1" s="13" t="s">
        <v>28</v>
      </c>
    </row>
    <row r="2">
      <c r="A2" s="14">
        <v>0.6</v>
      </c>
      <c r="B2" s="16">
        <v>0.55</v>
      </c>
      <c r="C2" s="16">
        <v>0.4</v>
      </c>
      <c r="D2" s="16">
        <v>0.15</v>
      </c>
      <c r="E2" s="16">
        <v>0.1</v>
      </c>
      <c r="F2" s="19"/>
      <c r="G2" s="19"/>
      <c r="H2" s="19"/>
      <c r="I2" s="19"/>
      <c r="J2" s="19"/>
      <c r="K2" s="19"/>
      <c r="L2" s="22" t="s">
        <v>44</v>
      </c>
    </row>
    <row r="3">
      <c r="A3" s="14">
        <v>0.61</v>
      </c>
      <c r="B3" s="16">
        <v>0.3</v>
      </c>
      <c r="C3" s="16">
        <v>0.35</v>
      </c>
      <c r="D3" s="16">
        <v>0.2</v>
      </c>
      <c r="E3" s="16">
        <v>0.15</v>
      </c>
      <c r="F3" s="19"/>
      <c r="G3" s="19"/>
      <c r="H3" s="19"/>
      <c r="I3" s="19"/>
      <c r="J3" s="19"/>
      <c r="K3" s="19"/>
    </row>
    <row r="4">
      <c r="A4" s="14">
        <v>0.62</v>
      </c>
      <c r="B4" s="16">
        <v>0.25</v>
      </c>
      <c r="C4" s="16">
        <v>0.3</v>
      </c>
      <c r="D4" s="16">
        <v>0.25</v>
      </c>
      <c r="E4" s="16">
        <v>0.2</v>
      </c>
      <c r="F4" s="19"/>
      <c r="G4" s="19"/>
      <c r="H4" s="19"/>
      <c r="I4" s="19"/>
      <c r="J4" s="19"/>
      <c r="K4" s="19"/>
    </row>
    <row r="5">
      <c r="A5" s="14">
        <v>0.63</v>
      </c>
      <c r="B5" s="16">
        <v>0.2</v>
      </c>
      <c r="C5" s="16">
        <v>0.35</v>
      </c>
      <c r="D5" s="16">
        <v>0.2</v>
      </c>
      <c r="E5" s="16">
        <v>0.15</v>
      </c>
      <c r="F5" s="16">
        <v>0.1</v>
      </c>
      <c r="G5" s="19"/>
      <c r="H5" s="19"/>
      <c r="I5" s="19"/>
      <c r="J5" s="19"/>
      <c r="K5" s="19"/>
    </row>
    <row r="6">
      <c r="A6" s="14">
        <v>0.64</v>
      </c>
      <c r="B6" s="16">
        <v>0.15</v>
      </c>
      <c r="C6" s="16">
        <v>0.25</v>
      </c>
      <c r="D6" s="16">
        <v>0.35</v>
      </c>
      <c r="E6" s="16">
        <v>0.15</v>
      </c>
      <c r="F6" s="16">
        <v>0.1</v>
      </c>
      <c r="G6" s="19"/>
      <c r="H6" s="19"/>
      <c r="I6" s="19"/>
      <c r="J6" s="19"/>
      <c r="K6" s="19"/>
    </row>
    <row r="7">
      <c r="A7" s="33">
        <v>0.65</v>
      </c>
      <c r="B7" s="16">
        <v>0.15</v>
      </c>
      <c r="C7" s="16">
        <v>0.2</v>
      </c>
      <c r="D7" s="16">
        <v>0.3</v>
      </c>
      <c r="E7" s="16">
        <v>0.15</v>
      </c>
      <c r="F7" s="16">
        <v>0.15</v>
      </c>
      <c r="G7" s="19"/>
      <c r="H7" s="19"/>
      <c r="I7" s="19"/>
      <c r="J7" s="19"/>
      <c r="K7" s="19"/>
    </row>
    <row r="8">
      <c r="A8" s="33">
        <v>0.66</v>
      </c>
      <c r="B8" s="16">
        <v>0.14</v>
      </c>
      <c r="C8" s="16">
        <v>0.18</v>
      </c>
      <c r="D8" s="16">
        <v>0.3</v>
      </c>
      <c r="E8" s="16">
        <v>0.18</v>
      </c>
      <c r="F8" s="16">
        <v>0.15</v>
      </c>
      <c r="G8" s="16">
        <v>0.08</v>
      </c>
      <c r="H8" s="19"/>
      <c r="I8" s="19"/>
      <c r="J8" s="19"/>
      <c r="K8" s="19"/>
    </row>
    <row r="9">
      <c r="A9" s="33">
        <v>0.67</v>
      </c>
      <c r="B9" s="16">
        <v>0.1</v>
      </c>
      <c r="C9" s="16">
        <v>0.2</v>
      </c>
      <c r="D9" s="16">
        <v>0.25</v>
      </c>
      <c r="E9" s="16">
        <v>0.2</v>
      </c>
      <c r="F9" s="16">
        <v>0.15</v>
      </c>
      <c r="G9" s="16">
        <v>0.1</v>
      </c>
      <c r="H9" s="19"/>
      <c r="I9" s="19"/>
      <c r="J9" s="19"/>
      <c r="K9" s="19"/>
    </row>
    <row r="10">
      <c r="A10" s="33">
        <v>0.68</v>
      </c>
      <c r="B10" s="16">
        <v>0.1</v>
      </c>
      <c r="C10" s="16">
        <v>0.18</v>
      </c>
      <c r="D10" s="16">
        <v>0.2</v>
      </c>
      <c r="E10" s="16">
        <v>0.26</v>
      </c>
      <c r="F10" s="16">
        <v>0.12</v>
      </c>
      <c r="G10" s="16">
        <v>0.08</v>
      </c>
      <c r="H10" s="16">
        <v>0.06</v>
      </c>
      <c r="I10" s="19"/>
      <c r="J10" s="19"/>
      <c r="K10" s="19"/>
    </row>
    <row r="11">
      <c r="A11" s="33">
        <v>0.69</v>
      </c>
      <c r="B11" s="16">
        <v>0.1</v>
      </c>
      <c r="C11" s="16">
        <v>0.15</v>
      </c>
      <c r="D11" s="16">
        <v>0.18</v>
      </c>
      <c r="E11" s="16">
        <v>0.25</v>
      </c>
      <c r="F11" s="16">
        <v>0.14</v>
      </c>
      <c r="G11" s="16">
        <v>0.1</v>
      </c>
      <c r="H11" s="16">
        <v>0.08</v>
      </c>
      <c r="I11" s="19"/>
      <c r="J11" s="19"/>
      <c r="K11" s="19"/>
    </row>
    <row r="12">
      <c r="A12" s="33">
        <v>0.7</v>
      </c>
      <c r="B12" s="16">
        <v>0.12</v>
      </c>
      <c r="C12" s="16">
        <v>0.14</v>
      </c>
      <c r="D12" s="16">
        <v>0.16</v>
      </c>
      <c r="E12" s="16">
        <v>0.18</v>
      </c>
      <c r="F12" s="16">
        <v>0.16</v>
      </c>
      <c r="G12" s="16">
        <v>0.12</v>
      </c>
      <c r="H12" s="16">
        <v>0.08</v>
      </c>
      <c r="I12" s="16">
        <v>0.04</v>
      </c>
      <c r="J12" s="19"/>
      <c r="K12" s="19"/>
    </row>
    <row r="13">
      <c r="A13" s="33">
        <v>0.71</v>
      </c>
      <c r="B13" s="16">
        <v>0.1</v>
      </c>
      <c r="C13" s="16">
        <v>0.12</v>
      </c>
      <c r="D13" s="16">
        <v>0.14</v>
      </c>
      <c r="E13" s="16">
        <v>0.16</v>
      </c>
      <c r="F13" s="16">
        <v>0.24</v>
      </c>
      <c r="G13" s="16">
        <v>0.12</v>
      </c>
      <c r="H13" s="16">
        <v>0.08</v>
      </c>
      <c r="I13" s="16">
        <v>0.04</v>
      </c>
      <c r="J13" s="19"/>
      <c r="K13" s="19"/>
    </row>
    <row r="14">
      <c r="A14" s="33">
        <v>0.72</v>
      </c>
      <c r="B14" s="16">
        <v>0.08</v>
      </c>
      <c r="C14" s="16">
        <v>0.12</v>
      </c>
      <c r="D14" s="16">
        <v>0.14</v>
      </c>
      <c r="E14" s="16">
        <v>0.16</v>
      </c>
      <c r="F14" s="16">
        <v>0.18</v>
      </c>
      <c r="G14" s="16">
        <v>0.16</v>
      </c>
      <c r="H14" s="16">
        <v>0.12</v>
      </c>
      <c r="I14" s="16">
        <v>0.04</v>
      </c>
      <c r="J14" s="19"/>
      <c r="K14" s="19"/>
    </row>
    <row r="15">
      <c r="A15" s="33">
        <v>0.73</v>
      </c>
      <c r="B15" s="16">
        <v>0.08</v>
      </c>
      <c r="C15" s="16">
        <v>0.1</v>
      </c>
      <c r="D15" s="16">
        <v>0.12</v>
      </c>
      <c r="E15" s="16">
        <v>0.16</v>
      </c>
      <c r="F15" s="16">
        <v>0.18</v>
      </c>
      <c r="G15" s="16">
        <v>0.16</v>
      </c>
      <c r="H15" s="16">
        <v>0.14</v>
      </c>
      <c r="I15" s="16">
        <v>0.06</v>
      </c>
      <c r="J15" s="19"/>
      <c r="K15" s="19"/>
    </row>
    <row r="16">
      <c r="A16" s="33">
        <v>0.74</v>
      </c>
      <c r="B16" s="16">
        <v>0.08</v>
      </c>
      <c r="C16" s="16">
        <v>0.1</v>
      </c>
      <c r="D16" s="16">
        <v>0.11</v>
      </c>
      <c r="E16" s="16">
        <v>0.12</v>
      </c>
      <c r="F16" s="16">
        <v>0.13</v>
      </c>
      <c r="G16" s="16">
        <v>0.22</v>
      </c>
      <c r="H16" s="16">
        <v>0.18</v>
      </c>
      <c r="I16" s="16">
        <v>0.06</v>
      </c>
      <c r="J16" s="19"/>
      <c r="K16" s="19"/>
    </row>
    <row r="17">
      <c r="A17" s="33">
        <v>0.75</v>
      </c>
      <c r="B17" s="16">
        <v>0.08</v>
      </c>
      <c r="C17" s="16">
        <v>0.07</v>
      </c>
      <c r="D17" s="16">
        <v>0.12</v>
      </c>
      <c r="E17" s="16">
        <v>0.11</v>
      </c>
      <c r="F17" s="16">
        <v>0.13</v>
      </c>
      <c r="G17" s="16">
        <v>0.22</v>
      </c>
      <c r="H17" s="16">
        <v>0.18</v>
      </c>
      <c r="I17" s="16">
        <v>0.06</v>
      </c>
      <c r="J17" s="16">
        <v>0.03</v>
      </c>
      <c r="K17" s="19"/>
    </row>
    <row r="18">
      <c r="A18" s="33">
        <v>0.76</v>
      </c>
      <c r="B18" s="16">
        <v>0.06</v>
      </c>
      <c r="C18" s="16">
        <v>0.07</v>
      </c>
      <c r="D18" s="16">
        <v>0.11</v>
      </c>
      <c r="E18" s="16">
        <v>0.12</v>
      </c>
      <c r="F18" s="16">
        <v>0.13</v>
      </c>
      <c r="G18" s="16">
        <v>0.21</v>
      </c>
      <c r="H18" s="16">
        <v>0.19</v>
      </c>
      <c r="I18" s="16">
        <v>0.06</v>
      </c>
      <c r="J18" s="16">
        <v>0.03</v>
      </c>
      <c r="K18" s="16">
        <v>0.02</v>
      </c>
    </row>
    <row r="19">
      <c r="A19" s="33">
        <v>0.77</v>
      </c>
      <c r="B19" s="16">
        <v>0.06</v>
      </c>
      <c r="C19" s="16">
        <v>0.06</v>
      </c>
      <c r="D19" s="16">
        <v>0.09</v>
      </c>
      <c r="E19" s="16">
        <v>0.12</v>
      </c>
      <c r="F19" s="16">
        <v>0.13</v>
      </c>
      <c r="G19" s="16">
        <v>0.2</v>
      </c>
      <c r="H19" s="16">
        <v>0.2</v>
      </c>
      <c r="I19" s="16">
        <v>0.07</v>
      </c>
      <c r="J19" s="16">
        <v>0.04</v>
      </c>
      <c r="K19" s="16">
        <v>0.03</v>
      </c>
    </row>
    <row r="20">
      <c r="A20" s="33">
        <v>0.78</v>
      </c>
      <c r="B20" s="16">
        <v>0.06</v>
      </c>
      <c r="C20" s="16">
        <v>0.06</v>
      </c>
      <c r="D20" s="16">
        <v>0.09</v>
      </c>
      <c r="E20" s="16">
        <v>0.09</v>
      </c>
      <c r="F20" s="16">
        <v>0.12</v>
      </c>
      <c r="G20" s="16">
        <v>0.19</v>
      </c>
      <c r="H20" s="16">
        <v>0.21</v>
      </c>
      <c r="I20" s="16">
        <v>0.08</v>
      </c>
      <c r="J20" s="16">
        <v>0.06</v>
      </c>
      <c r="K20" s="16">
        <v>0.04</v>
      </c>
    </row>
    <row r="21">
      <c r="A21" s="33">
        <v>0.79</v>
      </c>
      <c r="B21" s="16">
        <v>0.06</v>
      </c>
      <c r="C21" s="16">
        <v>0.06</v>
      </c>
      <c r="D21" s="16">
        <v>0.09</v>
      </c>
      <c r="E21" s="16">
        <v>0.09</v>
      </c>
      <c r="F21" s="16">
        <v>0.09</v>
      </c>
      <c r="G21" s="16">
        <v>0.15</v>
      </c>
      <c r="H21" s="16">
        <v>0.22</v>
      </c>
      <c r="I21" s="16">
        <v>0.11</v>
      </c>
      <c r="J21" s="16">
        <v>0.08</v>
      </c>
      <c r="K21" s="16">
        <v>0.05</v>
      </c>
    </row>
    <row r="22">
      <c r="A22" s="33">
        <v>0.8</v>
      </c>
      <c r="B22" s="16">
        <v>0.06</v>
      </c>
      <c r="C22" s="16">
        <v>0.06</v>
      </c>
      <c r="D22" s="16">
        <v>0.09</v>
      </c>
      <c r="E22" s="16">
        <v>0.09</v>
      </c>
      <c r="F22" s="16">
        <v>0.09</v>
      </c>
      <c r="G22" s="16">
        <v>0.12</v>
      </c>
      <c r="H22" s="16">
        <v>0.15</v>
      </c>
      <c r="I22" s="16">
        <v>0.17</v>
      </c>
      <c r="J22" s="16">
        <v>0.09</v>
      </c>
      <c r="K22" s="16">
        <v>0.08</v>
      </c>
    </row>
    <row r="25">
      <c r="A25" s="64">
        <v>0.55</v>
      </c>
      <c r="B25" s="64">
        <v>0.6</v>
      </c>
      <c r="C25" s="64">
        <v>0.65</v>
      </c>
      <c r="D25" s="64">
        <v>0.7</v>
      </c>
      <c r="E25" s="64">
        <v>0.75</v>
      </c>
      <c r="F25" s="64">
        <v>0.8</v>
      </c>
      <c r="G25" s="64">
        <v>0.85</v>
      </c>
      <c r="H25" s="64">
        <v>0.900000000000001</v>
      </c>
      <c r="I25" s="69" t="s">
        <v>90</v>
      </c>
      <c r="J25" s="69" t="s">
        <v>92</v>
      </c>
    </row>
    <row r="26">
      <c r="A26" s="69">
        <f>ROUND(J26*B16,0)</f>
        <v>13</v>
      </c>
      <c r="B26" s="69">
        <f>ROUND(J26*C16,0)</f>
        <v>16</v>
      </c>
      <c r="C26" s="69">
        <f>ROUND(J26*D16,0)</f>
        <v>18</v>
      </c>
      <c r="D26" s="69">
        <f>ROUND(J26*E16,0)</f>
        <v>20</v>
      </c>
      <c r="E26" s="69">
        <f>ROUND(J26*F16,0)</f>
        <v>21</v>
      </c>
      <c r="F26" s="69">
        <f>ROUND(J26*G16,0)</f>
        <v>36</v>
      </c>
      <c r="G26" s="69">
        <f>ROUND(J26*H16,0)</f>
        <v>29</v>
      </c>
      <c r="H26" s="69">
        <f>ROUND(J26*I16,0)</f>
        <v>10</v>
      </c>
      <c r="I26" s="64">
        <v>0.74</v>
      </c>
      <c r="J26" s="69">
        <v>163.0</v>
      </c>
    </row>
  </sheetData>
  <mergeCells count="1">
    <mergeCell ref="L2:L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hidden="1" min="1" max="5" width="15.13"/>
    <col customWidth="1" min="6" max="35" width="13.25"/>
  </cols>
  <sheetData>
    <row r="1">
      <c r="A1" s="3"/>
      <c r="B1" s="3"/>
      <c r="C1" s="3"/>
      <c r="D1" s="3"/>
      <c r="E1" s="3"/>
      <c r="F1" s="110" t="s">
        <v>110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2"/>
    </row>
    <row r="2" ht="37.5" customHeight="1">
      <c r="A2" s="3"/>
      <c r="B2" s="3"/>
      <c r="C2" s="3"/>
      <c r="D2" s="3"/>
      <c r="E2" s="3"/>
      <c r="F2" s="113"/>
      <c r="G2" s="114" t="s">
        <v>111</v>
      </c>
      <c r="H2" s="59"/>
      <c r="I2" s="59"/>
      <c r="J2" s="59"/>
      <c r="K2" s="60"/>
      <c r="L2" s="115"/>
      <c r="M2" s="114" t="s">
        <v>111</v>
      </c>
      <c r="N2" s="59"/>
      <c r="O2" s="59"/>
      <c r="P2" s="59"/>
      <c r="Q2" s="60"/>
      <c r="R2" s="114" t="s">
        <v>111</v>
      </c>
      <c r="S2" s="59"/>
      <c r="T2" s="59"/>
      <c r="U2" s="59"/>
      <c r="V2" s="59"/>
      <c r="W2" s="60"/>
      <c r="X2" s="114" t="s">
        <v>111</v>
      </c>
      <c r="Y2" s="59"/>
      <c r="Z2" s="59"/>
      <c r="AA2" s="59"/>
      <c r="AB2" s="59"/>
      <c r="AC2" s="60"/>
      <c r="AD2" s="114" t="s">
        <v>111</v>
      </c>
      <c r="AE2" s="59"/>
      <c r="AF2" s="59"/>
      <c r="AG2" s="59"/>
      <c r="AH2" s="59"/>
      <c r="AI2" s="60"/>
    </row>
    <row r="3">
      <c r="A3" s="116" t="s">
        <v>112</v>
      </c>
      <c r="B3" s="116" t="s">
        <v>113</v>
      </c>
      <c r="C3" s="116" t="s">
        <v>114</v>
      </c>
      <c r="D3" s="116" t="s">
        <v>115</v>
      </c>
      <c r="E3" s="116" t="s">
        <v>116</v>
      </c>
      <c r="F3" s="117"/>
      <c r="G3" s="118"/>
      <c r="H3" s="117"/>
      <c r="I3" s="123" t="s">
        <v>15</v>
      </c>
      <c r="J3" s="124"/>
      <c r="K3" s="126"/>
      <c r="L3" s="117"/>
      <c r="M3" s="127"/>
      <c r="N3" s="128"/>
      <c r="O3" s="129" t="s">
        <v>15</v>
      </c>
      <c r="P3" s="130"/>
      <c r="Q3" s="128"/>
      <c r="R3" s="130"/>
      <c r="S3" s="127"/>
      <c r="T3" s="128"/>
      <c r="U3" s="129" t="s">
        <v>15</v>
      </c>
      <c r="V3" s="128"/>
      <c r="W3" s="128"/>
      <c r="X3" s="130"/>
      <c r="Y3" s="127"/>
      <c r="Z3" s="128"/>
      <c r="AA3" s="129"/>
      <c r="AB3" s="128"/>
      <c r="AC3" s="128"/>
      <c r="AD3" s="130"/>
      <c r="AE3" s="128"/>
      <c r="AF3" s="128"/>
      <c r="AG3" s="127"/>
      <c r="AH3" s="128"/>
      <c r="AI3" s="136"/>
    </row>
    <row r="4">
      <c r="A4" s="116" t="s">
        <v>125</v>
      </c>
      <c r="B4" s="116" t="s">
        <v>125</v>
      </c>
      <c r="C4" s="116" t="s">
        <v>125</v>
      </c>
      <c r="D4" s="116" t="s">
        <v>125</v>
      </c>
      <c r="E4" s="116" t="s">
        <v>125</v>
      </c>
      <c r="F4" s="139" t="s">
        <v>126</v>
      </c>
      <c r="G4" s="140" t="s">
        <v>127</v>
      </c>
      <c r="H4" s="141" t="s">
        <v>127</v>
      </c>
      <c r="I4" s="140" t="s">
        <v>127</v>
      </c>
      <c r="J4" s="141" t="s">
        <v>127</v>
      </c>
      <c r="K4" s="140" t="s">
        <v>127</v>
      </c>
      <c r="L4" s="144" t="s">
        <v>126</v>
      </c>
      <c r="M4" s="141" t="s">
        <v>129</v>
      </c>
      <c r="N4" s="141" t="s">
        <v>129</v>
      </c>
      <c r="O4" s="141" t="s">
        <v>129</v>
      </c>
      <c r="P4" s="141" t="s">
        <v>129</v>
      </c>
      <c r="Q4" s="141" t="s">
        <v>129</v>
      </c>
      <c r="R4" s="140" t="s">
        <v>126</v>
      </c>
      <c r="S4" s="141" t="s">
        <v>130</v>
      </c>
      <c r="T4" s="141" t="s">
        <v>130</v>
      </c>
      <c r="U4" s="141" t="s">
        <v>130</v>
      </c>
      <c r="V4" s="141" t="s">
        <v>130</v>
      </c>
      <c r="W4" s="141" t="s">
        <v>130</v>
      </c>
      <c r="X4" s="140" t="s">
        <v>126</v>
      </c>
      <c r="Y4" s="141" t="s">
        <v>132</v>
      </c>
      <c r="Z4" s="141" t="s">
        <v>132</v>
      </c>
      <c r="AA4" s="141" t="s">
        <v>132</v>
      </c>
      <c r="AB4" s="141" t="s">
        <v>132</v>
      </c>
      <c r="AC4" s="141" t="s">
        <v>132</v>
      </c>
      <c r="AD4" s="140" t="s">
        <v>126</v>
      </c>
      <c r="AE4" s="141" t="s">
        <v>133</v>
      </c>
      <c r="AF4" s="141" t="s">
        <v>133</v>
      </c>
      <c r="AG4" s="141" t="s">
        <v>133</v>
      </c>
      <c r="AH4" s="141" t="s">
        <v>133</v>
      </c>
      <c r="AI4" s="141" t="s">
        <v>133</v>
      </c>
    </row>
    <row r="5">
      <c r="A5" s="148"/>
      <c r="B5" s="148"/>
      <c r="C5" s="148"/>
      <c r="D5" s="148"/>
      <c r="E5" s="148"/>
      <c r="F5" s="149" t="s">
        <v>87</v>
      </c>
      <c r="G5" s="140">
        <f>ROUND(VLOOKUP(Programacion!$I$4, Calculos!$A$14:$F$16, 2, 0)*(VLOOKUP(Programacion!$I$2 &amp; Programacion!$I$3, Calculos!$B$3:$L$12, 2, 0)/100)*Programacion!$I$8,0)-SUM(Entrenamiento!$G$6:$G$15)</f>
        <v>-5</v>
      </c>
      <c r="H5" s="141">
        <f>ROUND(VLOOKUP(Programacion!$I$4, Calculos!$A$14:$F$16, 2, 0)*(VLOOKUP(Programacion!$I$2 &amp; Programacion!$I$3, Calculos!$B$3:$L$12, 3, 0)/100)*Programacion!$I$8,0)-SUM(Entrenamiento!$H$6:$H$15)</f>
        <v>0</v>
      </c>
      <c r="I5" s="140">
        <f>ROUND(VLOOKUP(Programacion!$I$4, Calculos!$A$14:$F$16, 2, 0)*(VLOOKUP(Programacion!$I$2 &amp; Programacion!$I$3, Calculos!$B$3:$L$12, 4, 0)/100)*Programacion!$I$8,0)-SUM(Entrenamiento!$I$6:$I$15)</f>
        <v>0</v>
      </c>
      <c r="J5" s="141">
        <f>ROUND(VLOOKUP(Programacion!$I$4, Calculos!$A$14:$F$16, 2, 0)*(VLOOKUP(Programacion!$I$2 &amp; Programacion!$I$3, Calculos!$B$3:$L$12, 5, 0)/100)*Programacion!$I$8,0)-SUM(Entrenamiento!$J$6:$J$15)</f>
        <v>0</v>
      </c>
      <c r="K5" s="140">
        <f>ROUND(VLOOKUP(Programacion!$I$4, Calculos!$A$14:$F$16, 2, 0)*(VLOOKUP(Programacion!$I$2 &amp; Programacion!$I$3, Calculos!$B$3:$L$12, 6, 0)/100)*Programacion!$I$8,0)-SUM(Entrenamiento!$K$6:$K$15)</f>
        <v>0</v>
      </c>
      <c r="L5" s="141" t="s">
        <v>87</v>
      </c>
      <c r="M5" s="140">
        <f>ROUND(VLOOKUP(Programacion!$I$4, Calculos!$A$14:$F$16, 3, 0)*(VLOOKUP(Programacion!$I$2 &amp; Programacion!$I$3, Calculos!$B$3:$L$12, 2, 0)/100)*Programacion!$I$8,0)-SUM(Entrenamiento!$M$6:$M$15)</f>
        <v>2</v>
      </c>
      <c r="N5" s="141">
        <f>ROUND(VLOOKUP(Programacion!$I$4, Calculos!$A$14:$F$16, 3, 0)*(VLOOKUP(Programacion!$I$2 &amp; Programacion!$I$3, Calculos!$B$3:$L$12, 3, 0)/100)*Programacion!$I$8,0)-SUM(Entrenamiento!$N$6:$N$15)</f>
        <v>0</v>
      </c>
      <c r="O5" s="140">
        <f>ROUND(VLOOKUP(Programacion!$I$4, Calculos!$A$14:$F$16, 3, 0)*(VLOOKUP(Programacion!$I$2 &amp; Programacion!$I$3, Calculos!$B$3:$L$12, 4, 0)/100)*Programacion!$I$8,0)-SUM(Entrenamiento!$O$6:$O$15)</f>
        <v>0</v>
      </c>
      <c r="P5" s="141">
        <f>ROUND(VLOOKUP(Programacion!$I$4, Calculos!$A$14:$F$16, 3, 0)*(VLOOKUP(Programacion!$I$2 &amp; Programacion!$I$3, Calculos!$B$3:$L$12, 5, 0)/100)*Programacion!$I$8,0)-SUM(Entrenamiento!$P$6:$P$15)</f>
        <v>-1</v>
      </c>
      <c r="Q5" s="140">
        <f>ROUND(VLOOKUP(Programacion!$I$4, Calculos!$A$14:$F$16, 3, 0)*(VLOOKUP(Programacion!$I$2 &amp; Programacion!$I$3, Calculos!$B$3:$L$12, 6, 0)/100)*Programacion!$I$8,0)-SUM(Entrenamiento!$Q$6:$Q$15)</f>
        <v>1</v>
      </c>
      <c r="R5" s="140"/>
      <c r="S5" s="140">
        <f>ROUND(VLOOKUP(Programacion!$I$4, Calculos!$A$14:$F$16, 4, 0)*(VLOOKUP(Programacion!$I$2 &amp; Programacion!$I$3, Calculos!$B$3:$L$12, 2, 0)/100)*Programacion!$I$8,0)-SUM(Entrenamiento!$S$6:$S$15)</f>
        <v>0</v>
      </c>
      <c r="T5" s="141">
        <f>ROUND(VLOOKUP(Programacion!$I$4, Calculos!$A$14:$F$16, 4, 0)*(VLOOKUP(Programacion!$I$2 &amp; Programacion!$I$3, Calculos!$B$3:$L$12, 3, 0)/100)*Programacion!$I$8,0)-SUM(Entrenamiento!$T$6:$T$15)</f>
        <v>0</v>
      </c>
      <c r="U5" s="140">
        <f>ROUND(VLOOKUP(Programacion!$I$4, Calculos!$A$14:$F$16, 4, 0)*(VLOOKUP(Programacion!$I$2 &amp; Programacion!$I$3, Calculos!$B$3:$L$12, 4, 0)/100)*Programacion!$I$8,0)-SUM(Entrenamiento!$U$6:$U$15)</f>
        <v>0</v>
      </c>
      <c r="V5" s="141">
        <f>ROUND(VLOOKUP(Programacion!$I$4, Calculos!$A$14:$F$16, 4, 0)*(VLOOKUP(Programacion!$I$2 &amp; Programacion!$I$3, Calculos!$B$3:$L$12, 5, 0)/100)*Programacion!$I$8,0)-SUM(Entrenamiento!$V$6:$V$15)</f>
        <v>0</v>
      </c>
      <c r="W5" s="140">
        <f>ROUND(VLOOKUP(Programacion!$I$4, Calculos!$A$14:$F$16, 4, 0)*(VLOOKUP(Programacion!$I$2 &amp; Programacion!$I$3, Calculos!$B$3:$L$12, 6, 0)/100)*Programacion!$I$8,0)-SUM(Entrenamiento!$W$6:$W$15)</f>
        <v>0</v>
      </c>
      <c r="X5" s="140"/>
      <c r="Y5" s="141">
        <f>ROUND(VLOOKUP(Programacion!$I$4, Calculos!$A$14:$F$16, 5, 0)*(VLOOKUP(Programacion!$I$2 &amp; Programacion!$I$3, Calculos!$B$3:$L$12, 2, 0)/100)*Programacion!$I$8,0)-SUM(Entrenamiento!$Y$6:$Y$15)</f>
        <v>0</v>
      </c>
      <c r="Z5" s="141">
        <f>ROUND(VLOOKUP(Programacion!$I$4, Calculos!$A$14:$F$16, 5, 0)*(VLOOKUP(Programacion!$I$2 &amp; Programacion!$I$3, Calculos!$B$3:$L$12, 3, 0)/100)*Programacion!$I$8,0)-SUM(Entrenamiento!$Z$6:$Z$15)</f>
        <v>0</v>
      </c>
      <c r="AA5" s="140">
        <f>ROUND(VLOOKUP(Programacion!$I$4, Calculos!$A$14:$F$16, 5, 0)*(VLOOKUP(Programacion!$I$2 &amp; Programacion!$I$3, Calculos!$B$3:$L$12, 4, 0)/100)*Programacion!$I$8,0)-SUM(Entrenamiento!$AA$6:$AA$15)</f>
        <v>0</v>
      </c>
      <c r="AB5" s="141">
        <f>ROUND(VLOOKUP(Programacion!$I$4, Calculos!$A$14:$F$16, 5, 0)*(VLOOKUP(Programacion!$I$2 &amp; Programacion!$I$3, Calculos!$B$3:$L$12, 5, 0)/100)*Programacion!$I$8,0)-SUM(Entrenamiento!$AB$6:$AB$15)</f>
        <v>0</v>
      </c>
      <c r="AC5" s="140">
        <f>ROUND(VLOOKUP(Programacion!$I$4, Calculos!$A$14:$F$16, 5, 0)*(VLOOKUP(Programacion!$I$2 &amp; Programacion!$I$3, Calculos!$B$3:$L$12, 6, 0)/100)*Programacion!$I$8,0)-SUM(Entrenamiento!$AC$6:$AC$15)</f>
        <v>0</v>
      </c>
      <c r="AD5" s="140"/>
      <c r="AE5" s="141">
        <f>ROUND(VLOOKUP(Programacion!$I$4, Calculos!$A$14:$F$16, 6, 0)*(VLOOKUP(Programacion!$I$2 &amp; Programacion!$I$3, Calculos!$B$3:$L$12, 2, 0)/100)*Programacion!$I$8,0)-SUM(Entrenamiento!$AE$6:$AE$15)</f>
        <v>0</v>
      </c>
      <c r="AF5" s="141">
        <f>ROUND(VLOOKUP(Programacion!$I$4, Calculos!$A$14:$F$16, 6, 0)*(VLOOKUP(Programacion!$I$2 &amp; Programacion!$I$3, Calculos!$B$3:$L$12, 3, 0)/100)*Programacion!$I$8,0)-SUM(Entrenamiento!$AF$6:$AF$15)</f>
        <v>0</v>
      </c>
      <c r="AG5" s="140">
        <f>ROUND(VLOOKUP(Programacion!$I$4, Calculos!$A$14:$F$16, 6, 0)*(VLOOKUP(Programacion!$I$2 &amp; Programacion!$I$3, Calculos!$B$3:$L$12, 4, 0)/100)*Programacion!$I$8,0)-SUM(Entrenamiento!$AG$6:$AG$15)</f>
        <v>0</v>
      </c>
      <c r="AH5" s="141">
        <f>ROUND(VLOOKUP(Programacion!$I$4, Calculos!$A$14:$F$16, 6, 0)*(VLOOKUP(Programacion!$I$2 &amp; Programacion!$I$3, Calculos!$B$3:$L$12, 5, 0)/100)*Programacion!$I$8,0)-SUM(Entrenamiento!$AH$6:$AH$15)</f>
        <v>0</v>
      </c>
      <c r="AI5" s="140">
        <f>ROUND(VLOOKUP(Programacion!$I$4, Calculos!$A$14:$F$16, 6, 0)*(VLOOKUP(Programacion!$I$2 &amp; Programacion!$I$3, Calculos!$B$3:$L$12, 6, 0)/100)*Programacion!$I$8,0)-SUM(Entrenamiento!$AI$6:$AO$15)</f>
        <v>0</v>
      </c>
    </row>
    <row r="6">
      <c r="A6" s="206">
        <f t="shared" ref="A6:E6" si="1">A7</f>
        <v>-3</v>
      </c>
      <c r="B6" s="207">
        <f t="shared" si="1"/>
        <v>0</v>
      </c>
      <c r="C6" s="207">
        <f t="shared" si="1"/>
        <v>0</v>
      </c>
      <c r="D6" s="207">
        <f t="shared" si="1"/>
        <v>0</v>
      </c>
      <c r="E6" s="207">
        <f t="shared" si="1"/>
        <v>0</v>
      </c>
      <c r="F6" s="208">
        <f>round(IFERROR(VLOOKUP($I$3, Ejercicios!$A:$B, 2, FALSE) * 0.55,"55%"),0) </f>
        <v>63</v>
      </c>
      <c r="G6" s="210">
        <v>6.0</v>
      </c>
      <c r="H6" s="211"/>
      <c r="I6" s="212"/>
      <c r="J6" s="213"/>
      <c r="K6" s="214"/>
      <c r="L6" s="208">
        <f>IFERROR(VLOOKUP($O$3, Ejercicios!$A:$B, 2, FALSE) * 0.55,"55%") </f>
        <v>63.25</v>
      </c>
      <c r="M6" s="210">
        <v>6.0</v>
      </c>
      <c r="N6" s="211"/>
      <c r="O6" s="212"/>
      <c r="P6" s="213"/>
      <c r="Q6" s="214"/>
      <c r="R6" s="208">
        <f>IFERROR(VLOOKUP($U$3, Ejercicios!$A:$B, 2, FALSE) * 0.55,"55%") </f>
        <v>63.25</v>
      </c>
      <c r="S6" s="210">
        <v>4.0</v>
      </c>
      <c r="T6" s="211">
        <v>5.0</v>
      </c>
      <c r="U6" s="212">
        <v>3.0</v>
      </c>
      <c r="V6" s="213"/>
      <c r="W6" s="214"/>
      <c r="X6" s="208" t="str">
        <f>IFERROR(VLOOKUP($AA$3, Ejercicios!$A:$B, 2, FALSE) * 0.55,"55%") </f>
        <v>55%</v>
      </c>
      <c r="Y6" s="210"/>
      <c r="Z6" s="211"/>
      <c r="AA6" s="212"/>
      <c r="AB6" s="213"/>
      <c r="AC6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AD6" s="208" t="str">
        <f>IFERROR(VLOOKUP($AG$3, Ejercicios!$A:$B, 2, FALSE) * 0.55,"55%") </f>
        <v>55%</v>
      </c>
      <c r="AE6" s="210"/>
      <c r="AF6" s="218"/>
      <c r="AG6" s="219"/>
      <c r="AH6" s="220"/>
      <c r="AI6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</row>
    <row r="7">
      <c r="A7" s="229">
        <f>round(((VLOOKUP(Programacion!$I$2 &amp; Programacion!$I$3, Calculos!$B$3:$L$12, 2, 0)/100)*Programacion!$I$8)*VLOOKUP((Programacion!$I$7+(VLOOKUP(Programacion!$I$2 &amp; Programacion!$I$3, Calculos!$B$3:$L$12, 7, 0)))/100,Ref!$A$2:$K$22,3,0),0)+round(((VLOOKUP(Programacion!$I$2 &amp; Programacion!$I$3, Calculos!$B$3:$L$12, 2, 0)/100)*Programacion!$I$8)*VLOOKUP((Programacion!$I$7+(VLOOKUP(Programacion!$I$2 &amp; Programacion!$I$3, Calculos!$B$3:$L$12, 7, 0)))/100,Ref!$A$2:$K$22,2,0),0)+round(((VLOOKUP(Programacion!$I$2 &amp; Programacion!$I$3, Calculos!$B$3:$L$12, 2, 0)/100)*Programacion!$I$8)*VLOOKUP((Programacion!$I$7+(VLOOKUP(Programacion!$I$2 &amp; Programacion!$I$3, Calculos!$B$3:$L$12, 7, 0)))/100,Ref!$A$2:$K$22,4,0),0)-SUM(Entrenamiento!$G$6:G8)-SUM(Entrenamiento!$M$6:$M$8)-SUM(Entrenamiento!$S$6:$S$8)-SUM(Entrenamiento!$Y$6:$Y$8)-SUM(Entrenamiento!$AE$6:$AE$8)</f>
        <v>-3</v>
      </c>
      <c r="B7" s="234">
        <f>round(((VLOOKUP(Programacion!$I$2 &amp; Programacion!$I$3, Calculos!$B$3:$L$12, 3, 0)/100)*Programacion!$I$8)*VLOOKUP((Programacion!$I$7+(VLOOKUP(Programacion!$I$2 &amp; Programacion!$I$3, Calculos!$B$3:$L$12, 8, 0)))/100,Ref!$A$2:$K$22,2,0),0)+round(((VLOOKUP(Programacion!$I$2 &amp; Programacion!$I$3, Calculos!$B$3:$L$12, 3, 0)/100)*Programacion!$I$8)*VLOOKUP((Programacion!$I$7+(VLOOKUP(Programacion!$I$2 &amp; Programacion!$I$3, Calculos!$B$3:$L$12, 8, 0)))/100,Ref!$A$2:$K$22,3,0),0)+round(((VLOOKUP(Programacion!$I$2 &amp; Programacion!$I$3, Calculos!$B$3:$L$12, 3, 0)/100)*Programacion!$I$8)*VLOOKUP((Programacion!$I$7+(VLOOKUP(Programacion!$I$2 &amp; Programacion!$I$3, Calculos!$B$3:$L$12, 8, 0)))/100,Ref!$A$2:$K$22,4,0),0)-SUM(Entrenamiento!$H$6:H8)-SUM(Entrenamiento!$N$6:$N$8)-SUM(Entrenamiento!$T$6:$T$8)-SUM(Entrenamiento!$Z$6:$Z$8)-SUM(Entrenamiento!$AF$6:$AF$8)</f>
        <v>0</v>
      </c>
      <c r="C7" s="234">
        <f>round(((VLOOKUP(Programacion!$I$2 &amp; Programacion!$I$3, Calculos!$B$3:$L$12, 4, 0)/100)*Programacion!$I$8)*VLOOKUP((Programacion!$I$7+(VLOOKUP(Programacion!$I$2 &amp; Programacion!$I$3, Calculos!$B$3:$L$12, 9, 0)))/100,Ref!$A$2:$K$22,2,0),0)+round(((VLOOKUP(Programacion!$I$2 &amp; Programacion!$I$3, Calculos!$B$3:$L$12, 4, 0)/100)*Programacion!$I$8)*VLOOKUP((Programacion!$I$7+(VLOOKUP(Programacion!$I$2 &amp; Programacion!$I$3, Calculos!$B$3:$L$12, 9, 0)))/100,Ref!$A$2:$K$22,3,0),0)+round(((VLOOKUP(Programacion!$I$2 &amp; Programacion!$I$3, Calculos!$B$3:$L$12, 4, 0)/100)*Programacion!$I$8)*VLOOKUP((Programacion!$I$7+(VLOOKUP(Programacion!$I$2 &amp; Programacion!$I$3, Calculos!$B$3:$L$12, 9, 0)))/100,Ref!$A$2:$K$22,4,0),0)-SUM(Entrenamiento!$I$6:$I$8)-SUM(Entrenamiento!$O$6:O8)-SUM(Entrenamiento!$U$6:$U$8)-SUM(Entrenamiento!$AA$6:$AA$8)-SUM(Entrenamiento!$AG$6:$AG$8)</f>
        <v>0</v>
      </c>
      <c r="D7" s="234">
        <f>round(((VLOOKUP(Programacion!$I$2 &amp; Programacion!$I$3, Calculos!$B$3:$L$12, 5, 0)/100)*Programacion!$I$8)*VLOOKUP((Programacion!$I$7+(VLOOKUP(Programacion!$I$2 &amp; Programacion!$I$3, Calculos!$B$3:$L$12, 10, 0)))/100,Ref!$A$2:$K$22,2,0),0)+round(((VLOOKUP(Programacion!$I$2 &amp; Programacion!$I$3, Calculos!$B$3:$L$12, 5, 0)/100)*Programacion!$I$8)*VLOOKUP((Programacion!$I$7+(VLOOKUP(Programacion!$I$2 &amp; Programacion!$I$3, Calculos!$B$3:$L$12, 10, 0)))/100,Ref!$A$2:$K$22,3,0),0)+round(((VLOOKUP(Programacion!$I$2 &amp; Programacion!$I$3, Calculos!$B$3:$L$12, 5, 0)/100)*Programacion!$I$8)*VLOOKUP((Programacion!$I$7+(VLOOKUP(Programacion!$I$2 &amp; Programacion!$I$3, Calculos!$B$3:$L$12, 10, 0)))/100,Ref!$A$2:$K$22,4,0),0)-SUM(Entrenamiento!$J$6:J8)-SUM(Entrenamiento!$P$6:$P$8)-SUM(Entrenamiento!$V$6:$V$8)-SUM(Entrenamiento!$AB$6:AB$8)-SUM(Entrenamiento!$AH$6:$AH$8)</f>
        <v>0</v>
      </c>
      <c r="E7" s="234">
        <f>round(((VLOOKUP(Programacion!$I$2 &amp; Programacion!$I$3, Calculos!$B$3:$L$12, 6, 0)/100)*Programacion!$I$8)*VLOOKUP((Programacion!$I$7+(VLOOKUP(Programacion!$I$2 &amp; Programacion!$I$3, Calculos!$B$3:$L$12, 11, 0)))/100,Ref!$A$2:$K$22,2,0),0)+round(((VLOOKUP(Programacion!$I$2 &amp; Programacion!$I$3, Calculos!$B$3:$L$12, 6, 0)/100)*Programacion!$I$8)*VLOOKUP((Programacion!$I$7+(VLOOKUP(Programacion!$I$2 &amp; Programacion!$I$3, Calculos!$B$3:$L$12, 11, 0)))/100,Ref!$A$2:$K$22,3,0),0)+round(((VLOOKUP(Programacion!$I$2 &amp; Programacion!$I$3, Calculos!$B$3:$L$12, 6, 0)/100)*Programacion!$I$8)*VLOOKUP((Programacion!$I$7+(VLOOKUP(Programacion!$I$2 &amp; Programacion!$I$3, Calculos!$B$3:$L$12, 11, 0)))/100,Ref!$A$2:$K$22,4,0),0)-SUM(Entrenamiento!$K$6:K8)-SUM(Entrenamiento!$Q$6:$Q$8)-SUM(Entrenamiento!$W$6:$W$8)-SUM(Entrenamiento!AC$6:$AC$8)-SUM(Entrenamiento!$AI$6:$AI$8)</f>
        <v>0</v>
      </c>
      <c r="F7" s="208">
        <f>round(IFERROR(VLOOKUP($I$3, Ejercicios!$A:$B, 2, FALSE) * 0.6,"60%") ,0)</f>
        <v>69</v>
      </c>
      <c r="G7" s="249"/>
      <c r="H7" s="250">
        <v>7.0</v>
      </c>
      <c r="I7" s="251">
        <v>11.0</v>
      </c>
      <c r="J7" s="252">
        <v>3.0</v>
      </c>
      <c r="K7" s="253">
        <v>2.0</v>
      </c>
      <c r="L7" s="208">
        <f>IFERROR(VLOOKUP($O$3, Ejercicios!$A:$B, 2, FALSE) * 0.6,"60%") </f>
        <v>69</v>
      </c>
      <c r="M7" s="249"/>
      <c r="N7" s="250">
        <v>9.0</v>
      </c>
      <c r="O7" s="251">
        <v>13.0</v>
      </c>
      <c r="P7" s="252">
        <v>9.0</v>
      </c>
      <c r="Q7" s="253">
        <v>4.0</v>
      </c>
      <c r="R7" s="208">
        <f>IFERROR(VLOOKUP($U$3, Ejercicios!$A:$B, 2, FALSE) * 0.6,"60%") </f>
        <v>69</v>
      </c>
      <c r="S7" s="249"/>
      <c r="T7" s="250"/>
      <c r="U7" s="251"/>
      <c r="V7" s="252">
        <v>2.0</v>
      </c>
      <c r="W7" s="253">
        <v>2.0</v>
      </c>
      <c r="X7" s="208" t="str">
        <f>IFERROR(VLOOKUP($AA$3, Ejercicios!$A:$B, 2, FALSE) * 0.6,"60%") </f>
        <v>60%</v>
      </c>
      <c r="Y7" s="249"/>
      <c r="Z7" s="250"/>
      <c r="AA7" s="251"/>
      <c r="AB7" s="252"/>
      <c r="AC7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AD7" s="208" t="str">
        <f>IFERROR(VLOOKUP($AG$3, Ejercicios!$A:$B, 2, FALSE) * 0.6,"60%") </f>
        <v>60%</v>
      </c>
      <c r="AE7" s="249"/>
      <c r="AF7" s="255"/>
      <c r="AG7" s="256"/>
      <c r="AH7" s="257"/>
      <c r="AI7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</row>
    <row r="8">
      <c r="A8" s="258">
        <f t="shared" ref="A8:E8" si="2">A7</f>
        <v>-3</v>
      </c>
      <c r="B8" s="259">
        <f t="shared" si="2"/>
        <v>0</v>
      </c>
      <c r="C8" s="260">
        <f t="shared" si="2"/>
        <v>0</v>
      </c>
      <c r="D8" s="260">
        <f t="shared" si="2"/>
        <v>0</v>
      </c>
      <c r="E8" s="260">
        <f t="shared" si="2"/>
        <v>0</v>
      </c>
      <c r="F8" s="208">
        <f>round(IFERROR(VLOOKUP($I$3, Ejercicios!$A:$B, 2, FALSE) * 0.65,"65%") ,0)</f>
        <v>75</v>
      </c>
      <c r="G8" s="249">
        <v>4.0</v>
      </c>
      <c r="H8" s="250"/>
      <c r="I8" s="251"/>
      <c r="J8" s="252"/>
      <c r="K8" s="254"/>
      <c r="L8" s="208">
        <f>IFERROR(VLOOKUP($O$3, Ejercicios!$A:$B, 2, FALSE) * 0.65,"65%") </f>
        <v>74.75</v>
      </c>
      <c r="M8" s="249"/>
      <c r="N8" s="250"/>
      <c r="O8" s="251"/>
      <c r="P8" s="252"/>
      <c r="Q8" s="254"/>
      <c r="R8" s="208">
        <f>IFERROR(VLOOKUP($U$3, Ejercicios!$A:$B, 2, FALSE) * 0.65,"65%") </f>
        <v>74.75</v>
      </c>
      <c r="S8" s="249"/>
      <c r="T8" s="250"/>
      <c r="U8" s="251"/>
      <c r="V8" s="252"/>
      <c r="W8" s="254"/>
      <c r="X8" s="208" t="str">
        <f>IFERROR(VLOOKUP($AA$3, Ejercicios!$A:$B, 2, FALSE) * 0.65,"65%") </f>
        <v>65%</v>
      </c>
      <c r="Y8" s="249"/>
      <c r="Z8" s="250"/>
      <c r="AA8" s="251"/>
      <c r="AB8" s="252"/>
      <c r="AC8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AD8" s="208" t="str">
        <f>IFERROR(VLOOKUP($AG$3, Ejercicios!$A:$B, 2, FALSE) * 0.65,"65%") </f>
        <v>65%</v>
      </c>
      <c r="AE8" s="249"/>
      <c r="AF8" s="255"/>
      <c r="AG8" s="256"/>
      <c r="AH8" s="257"/>
      <c r="AI8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</row>
    <row r="9">
      <c r="A9" s="261">
        <f>ROUND(((VLOOKUP(Programacion!$I$2 &amp; Programacion!$I$3, Calculos!$B$3:$L$12, 2, 0)/100)*Programacion!I8*VLOOKUP((Programacion!$I$7+(VLOOKUP(Programacion!$I$2 &amp; Programacion!$I$3, Calculos!$B$3:$L$12, 7, 0)))/100,Ref!A2:K22,5,0)),0)-Entrenamiento!$G$9-Entrenamiento!$S$9-Entrenamiento!$Y$9-Entrenamiento!$AE$9-Entrenamiento!$M$9</f>
        <v>-5</v>
      </c>
      <c r="B9" s="262">
        <f>round(((VLOOKUP(Programacion!$I$2 &amp; Programacion!$I$3, Calculos!$B$3:$L$12, 3, 0)/100)*Programacion!$I$8)*VLOOKUP((Programacion!$I$7+(VLOOKUP(Programacion!$I$2 &amp; Programacion!$I$3, Calculos!$B$3:$L$12, 8, 0)))/100,Ref!$A$2:$K$22,5,0),0)-Entrenamiento!$H$9-Entrenamiento!$N$9-Entrenamiento!$T$9-Entrenamiento!$Z$9-Entrenamiento!$AF$9</f>
        <v>0</v>
      </c>
      <c r="C9" s="262">
        <f>round(((VLOOKUP(Programacion!$I$2 &amp; Programacion!$I$3, Calculos!$B$3:$L$12, 4, 0)/100)*Programacion!$I$8)*VLOOKUP((Programacion!$I$7+(VLOOKUP(Programacion!$I$2 &amp; Programacion!$I$3, Calculos!$B$3:$L$12, 9, 0)))/100,Ref!$A$2:$K$22,5,0),0)-Entrenamiento!$I$9-Entrenamiento!$O$9-Entrenamiento!$U$9-Entrenamiento!$AA$9-Entrenamiento!$AG$9</f>
        <v>0</v>
      </c>
      <c r="D9" s="262">
        <f>round(((VLOOKUP(Programacion!$I$2 &amp; Programacion!$I$3, Calculos!$B$3:$L$12, 5, 0)/100)*Programacion!$I$8)*VLOOKUP((Programacion!$I$7+(VLOOKUP(Programacion!$I$2 &amp; Programacion!$I$3, Calculos!$B$3:$L$12, 10, 0)))/100,Ref!$A$2:$K$22,5,0),0)-Entrenamiento!$J$9-Entrenamiento!$P$9-Entrenamiento!$V$9-Entrenamiento!$AB$9-Entrenamiento!$AH$9</f>
        <v>0</v>
      </c>
      <c r="E9" s="263">
        <f>round(((VLOOKUP(Programacion!$I$2 &amp; Programacion!$I$3, Calculos!$B$3:$L$12, 6, 0)/100)*Programacion!$I$8)*VLOOKUP((Programacion!$I$7+(VLOOKUP(Programacion!$I$2 &amp; Programacion!$I$3, Calculos!$B$3:$L$12, 11, 0)))/100,Ref!$A$2:$K$22,5,0),0)-Entrenamiento!$K$9-Entrenamiento!$Q$9-Entrenamiento!$W$9-Entrenamiento!$AC$9-Entrenamiento!$AI$9</f>
        <v>0</v>
      </c>
      <c r="F9" s="264">
        <f>round(IFERROR(VLOOKUP($I$3, Ejercicios!$A:$B, 2, FALSE) * 0.7,"70%") ,0)</f>
        <v>81</v>
      </c>
      <c r="G9" s="249">
        <v>4.0</v>
      </c>
      <c r="H9" s="250">
        <v>3.0</v>
      </c>
      <c r="I9" s="251">
        <v>4.0</v>
      </c>
      <c r="J9" s="252">
        <v>3.0</v>
      </c>
      <c r="K9" s="265">
        <v>3.0</v>
      </c>
      <c r="L9" s="264">
        <f>IFERROR(VLOOKUP($O$3, Ejercicios!$A:$B, 2, FALSE) * 0.7,"70%") </f>
        <v>80.5</v>
      </c>
      <c r="M9" s="249">
        <v>6.0</v>
      </c>
      <c r="N9" s="250">
        <v>4.0</v>
      </c>
      <c r="O9" s="251">
        <v>5.0</v>
      </c>
      <c r="P9" s="252"/>
      <c r="Q9" s="266"/>
      <c r="R9" s="264">
        <f>IFERROR(VLOOKUP($U$3, Ejercicios!$A:$B, 2, FALSE) * 0.7,"70%") </f>
        <v>80.5</v>
      </c>
      <c r="S9" s="249">
        <v>3.0</v>
      </c>
      <c r="T9" s="250">
        <v>2.0</v>
      </c>
      <c r="U9" s="251">
        <v>3.0</v>
      </c>
      <c r="V9" s="252">
        <v>2.0</v>
      </c>
      <c r="W9" s="265"/>
      <c r="X9" s="264" t="str">
        <f>IFERROR(VLOOKUP($AA$3, Ejercicios!$A:$B, 2, FALSE) * 0.7,"70%") </f>
        <v>70%</v>
      </c>
      <c r="Y9" s="249"/>
      <c r="Z9" s="250"/>
      <c r="AA9" s="251"/>
      <c r="AB9" s="252"/>
      <c r="AC9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AD9" s="264" t="str">
        <f>IFERROR(VLOOKUP($AG$3, Ejercicios!$A:$B, 2, FALSE) * 0.7,"70%") </f>
        <v>70%</v>
      </c>
      <c r="AE9" s="267"/>
      <c r="AF9" s="255"/>
      <c r="AG9" s="256"/>
      <c r="AH9" s="257"/>
      <c r="AI9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</row>
    <row r="10">
      <c r="A10" s="268">
        <f>round((VLOOKUP(Programacion!$I$2 &amp; Programacion!$I$3, Calculos!$B$3:$L$12, 2, 0)/100)*Programacion!$I$8*VLOOKUP((Programacion!$I$7+(VLOOKUP(Programacion!$I$2 &amp; Programacion!$I$3, Calculos!$B$3:$L$12, 7, 0)))/100,Ref!A2:K22,6,0),0)-Entrenamiento!$G$10-Entrenamiento!$S$10-Entrenamiento!$Y$10-Entrenamiento!$AE$10-Entrenamiento!$M$10</f>
        <v>0</v>
      </c>
      <c r="B10" s="269">
        <f>ROUND(((VLOOKUP(Programacion!$I$2 &amp; Programacion!$I$3, Calculos!$B$3:$L$12, 3, 0)/100)*Programacion!$I$8)*VLOOKUP((Programacion!$I$7+(VLOOKUP(Programacion!$I$2 &amp; Programacion!$I$3, Calculos!$B$3:$L$12, 8, 0)))/100,Ref!$A$2:$K$22,6,0),0)-Entrenamiento!$H$10-Entrenamiento!$N$10-Entrenamiento!$T$10-Entrenamiento!$Z$10-Entrenamiento!$AF$10</f>
        <v>0</v>
      </c>
      <c r="C10" s="269">
        <f>round(((VLOOKUP(Programacion!$I$2 &amp; Programacion!$I$3, Calculos!$B$3:$L$12, 4, 0)/100)*Programacion!$I$8)*VLOOKUP((Programacion!$I$7+(VLOOKUP(Programacion!$I$2 &amp; Programacion!$I$3, Calculos!$B$3:$L$12, 9, 0)))/100,Ref!$A$2:$K$22,6,0),0)-Entrenamiento!$I$10-Entrenamiento!$O$10-Entrenamiento!$U$10-Entrenamiento!$AA$10-Entrenamiento!$AG$10</f>
        <v>0</v>
      </c>
      <c r="D10" s="269">
        <f>round(((VLOOKUP(Programacion!$I$2 &amp; Programacion!$I$3, Calculos!$B$3:$L$12, 5, 0)/100)*Programacion!$I$8)*VLOOKUP((Programacion!$I$7+(VLOOKUP(Programacion!$I$2 &amp; Programacion!$I$3, Calculos!$B$3:$L$12, 10, 0)))/100,Ref!$A$2:$K$22,6,0),0)-Entrenamiento!$J$10-Entrenamiento!$P$10-Entrenamiento!$V$10-Entrenamiento!$AB$10-Entrenamiento!$AH$10</f>
        <v>0</v>
      </c>
      <c r="E10" s="270">
        <f>round(((VLOOKUP(Programacion!$I$2 &amp; Programacion!$I$3, Calculos!$B$3:$L$12, 6, 0)/100)*Programacion!$I$8)*VLOOKUP((Programacion!$I$7+(VLOOKUP(Programacion!$I$2 &amp; Programacion!$I$3, Calculos!$B$3:$L$12, 11, 0)))/100,Ref!$A$2:$K$22,6,0),0)-Entrenamiento!$K$10-Entrenamiento!$Q$10-Entrenamiento!$W$10-Entrenamiento!$AC$10-Entrenamiento!$AI$10</f>
        <v>0</v>
      </c>
      <c r="F10" s="264">
        <f>round(IFERROR(VLOOKUP($I$3, Ejercicios!$A:$B, 2, FALSE) * 0.75,"75%") ,0)</f>
        <v>86</v>
      </c>
      <c r="G10" s="249">
        <v>6.0</v>
      </c>
      <c r="H10" s="250">
        <v>6.0</v>
      </c>
      <c r="I10" s="251">
        <v>4.0</v>
      </c>
      <c r="J10" s="252">
        <v>2.0</v>
      </c>
      <c r="K10" s="265"/>
      <c r="L10" s="264">
        <f>IFERROR(VLOOKUP($O$3, Ejercicios!$A:$B, 2, FALSE) * 0.75,"75%") </f>
        <v>86.25</v>
      </c>
      <c r="M10" s="249">
        <v>3.0</v>
      </c>
      <c r="N10" s="250">
        <v>8.0</v>
      </c>
      <c r="O10" s="251">
        <v>6.0</v>
      </c>
      <c r="P10" s="252">
        <v>4.0</v>
      </c>
      <c r="Q10" s="265">
        <v>3.0</v>
      </c>
      <c r="R10" s="264">
        <f>IFERROR(VLOOKUP($U$3, Ejercicios!$A:$B, 2, FALSE) * 0.75,"75%") </f>
        <v>86.25</v>
      </c>
      <c r="S10" s="249"/>
      <c r="T10" s="250"/>
      <c r="U10" s="251"/>
      <c r="V10" s="252"/>
      <c r="W10" s="265">
        <v>1.0</v>
      </c>
      <c r="X10" s="264" t="str">
        <f>IFERROR(VLOOKUP($AA$3, Ejercicios!$A:$B, 2, FALSE) * 0.75,"75%") </f>
        <v>75%</v>
      </c>
      <c r="Y10" s="249"/>
      <c r="Z10" s="250"/>
      <c r="AA10" s="251"/>
      <c r="AB10" s="252"/>
      <c r="AC10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AD10" s="264" t="str">
        <f>IFERROR(VLOOKUP($AG$3, Ejercicios!$A:$B, 2, FALSE) * 0.75,"75%") </f>
        <v>75%</v>
      </c>
      <c r="AE10" s="267"/>
      <c r="AF10" s="255"/>
      <c r="AG10" s="256"/>
      <c r="AH10" s="257"/>
      <c r="AI10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</row>
    <row r="11">
      <c r="A11" s="271">
        <f>round((VLOOKUP(Programacion!$I$2 &amp; Programacion!$I$3, Calculos!$B$3:$L$12, 2, 0)/100)*Programacion!$I$8*VLOOKUP((Programacion!$I$7+(VLOOKUP(Programacion!$I$2 &amp; Programacion!$I$3, Calculos!$B$3:$L$12, 7, 0)))/100,Ref!$A$2:$K$22,7,0),0)-Entrenamiento!$G$11-Entrenamiento!$S$11-Entrenamiento!$Y$11-Entrenamiento!$AE$11-Entrenamiento!$M$11</f>
        <v>1</v>
      </c>
      <c r="B11" s="269">
        <f>ROUND(((VLOOKUP(Programacion!$I$2 &amp; Programacion!$I$3, Calculos!$B$3:$L$12, 3, 0)/100)*Programacion!$I$8)*VLOOKUP((Programacion!$I$7+(VLOOKUP(Programacion!$I$2 &amp; Programacion!$I$3, Calculos!$B$3:$L$12, 8, 0)))/100,Ref!$A$2:$K$22,7,0),0)-Entrenamiento!$H$11-Entrenamiento!$N$11-Entrenamiento!$T$11-Entrenamiento!$Z$11-Entrenamiento!$AF$11</f>
        <v>0</v>
      </c>
      <c r="C11" s="269">
        <f>round(((VLOOKUP(Programacion!$I$2 &amp; Programacion!$I$3, Calculos!$B$3:$L$12, 4, 0)/100)*Programacion!$I$8)*VLOOKUP((Programacion!$I$7+(VLOOKUP(Programacion!$I$2 &amp; Programacion!$I$3, Calculos!$B$3:$L$12, 9, 0)))/100,Ref!$A$2:$K$22,7,0),0)-Entrenamiento!$I$11-Entrenamiento!$O$11-Entrenamiento!$U$11-Entrenamiento!$AA$11-Entrenamiento!$AG$11</f>
        <v>0</v>
      </c>
      <c r="D11" s="269">
        <f>round(((VLOOKUP(Programacion!$I$2 &amp; Programacion!$I$3, Calculos!$B$3:$L$12, 5, 0)/100)*Programacion!$I$8)*VLOOKUP((Programacion!$I$7+(VLOOKUP(Programacion!$I$2 &amp; Programacion!$I$3, Calculos!$B$3:$L$12, 10, 0)))/100,Ref!$A$2:$K$22,7,0),0)-Entrenamiento!$J$11-Entrenamiento!$P$11-Entrenamiento!$V$11-Entrenamiento!$AB$11-Entrenamiento!$AH$11</f>
        <v>0</v>
      </c>
      <c r="E11" s="270">
        <f>round(((VLOOKUP(Programacion!$I$2 &amp; Programacion!$I$3, Calculos!$B$3:$L$12, 6, 0)/100)*Programacion!$I$8)*VLOOKUP((Programacion!$I$7+(VLOOKUP(Programacion!$I$2 &amp; Programacion!$I$3, Calculos!$B$3:$L$12, 11, 0)))/100,Ref!$A$2:$K$22,7,0),0)-Entrenamiento!$K$11-Entrenamiento!$Q$11-Entrenamiento!$W$11-Entrenamiento!$AC$11-Entrenamiento!$AI$11</f>
        <v>0</v>
      </c>
      <c r="F11" s="272">
        <f>round(IFERROR(VLOOKUP($I$3, Ejercicios!$A:$B, 2, FALSE) * 0.8,"80%"),0)</f>
        <v>92</v>
      </c>
      <c r="G11" s="249">
        <v>2.0</v>
      </c>
      <c r="H11" s="250">
        <v>2.0</v>
      </c>
      <c r="I11" s="251">
        <v>2.0</v>
      </c>
      <c r="J11" s="252">
        <v>3.0</v>
      </c>
      <c r="K11" s="265">
        <v>3.0</v>
      </c>
      <c r="L11" s="272">
        <f>IFERROR(VLOOKUP($O$3, Ejercicios!$A:$B, 2, FALSE) * 0.8,"80%") </f>
        <v>92</v>
      </c>
      <c r="M11" s="249">
        <v>4.0</v>
      </c>
      <c r="N11" s="250">
        <v>3.0</v>
      </c>
      <c r="O11" s="251">
        <v>4.0</v>
      </c>
      <c r="P11" s="252">
        <v>5.0</v>
      </c>
      <c r="Q11" s="265">
        <v>4.0</v>
      </c>
      <c r="R11" s="272">
        <f>IFERROR(VLOOKUP($U$3, Ejercicios!$A:$B, 2, FALSE) * 0.8,"80%") </f>
        <v>92</v>
      </c>
      <c r="S11" s="249">
        <v>1.0</v>
      </c>
      <c r="T11" s="250">
        <v>2.0</v>
      </c>
      <c r="U11" s="251">
        <v>2.0</v>
      </c>
      <c r="V11" s="252">
        <v>2.0</v>
      </c>
      <c r="W11" s="265"/>
      <c r="X11" s="272" t="str">
        <f>IFERROR(VLOOKUP($AA$3, Ejercicios!$A:$B, 2, FALSE) * 0.8,"80%") </f>
        <v>80%</v>
      </c>
      <c r="Y11" s="249"/>
      <c r="Z11" s="250"/>
      <c r="AA11" s="273"/>
      <c r="AB11" s="252"/>
      <c r="AC11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AD11" s="272" t="str">
        <f>IFERROR(VLOOKUP($AG$3, Ejercicios!$A:$B, 2, FALSE) * 0.8,"80%") </f>
        <v>80%</v>
      </c>
      <c r="AE11" s="267"/>
      <c r="AF11" s="255"/>
      <c r="AG11" s="256"/>
      <c r="AH11" s="257"/>
      <c r="AI11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</row>
    <row r="12">
      <c r="A12" s="271">
        <f>round((VLOOKUP(Programacion!$I$2 &amp; Programacion!$I$3, Calculos!$B$3:$L$12, 2, 0)/100)*Programacion!$I$8*VLOOKUP((Programacion!$I$7+(VLOOKUP(Programacion!$I$2 &amp; Programacion!$I$3, Calculos!$B$3:$L$12, 7, 0)))/100,Ref!$A$2:$K$22,8,0),0)-Entrenamiento!$G$12-Entrenamiento!$S$12-Entrenamiento!$Y$12-Entrenamiento!$AE$12-Entrenamiento!$M$12</f>
        <v>1</v>
      </c>
      <c r="B12" s="269">
        <f>ROUND(((VLOOKUP(Programacion!$I$2 &amp; Programacion!$I$3, Calculos!$B$3:$L$12, 3, 0)/100)*Programacion!$I$8)*VLOOKUP((Programacion!$I$7+(VLOOKUP(Programacion!$I$2 &amp; Programacion!$I$3, Calculos!$B$3:$L$12, 8, 0)))/100,Ref!$A$2:$K$22,8,0),0)-Entrenamiento!$H$12-Entrenamiento!$N$12-Entrenamiento!$T$12-Entrenamiento!$Z$12-Entrenamiento!$AF$12</f>
        <v>0</v>
      </c>
      <c r="C12" s="269">
        <f>round(((VLOOKUP(Programacion!$I$2 &amp; Programacion!$I$3, Calculos!$B$3:$L$12, 4, 0)/100)*Programacion!$I$8)*VLOOKUP((Programacion!$I$7+(VLOOKUP(Programacion!$I$2 &amp; Programacion!$I$3, Calculos!$B$3:$L$12, 9, 0)))/100,Ref!$A$2:$K$22,8,0),0)-Entrenamiento!$I$12-Entrenamiento!$O$12-Entrenamiento!$U$12-Entrenamiento!$AA$12-Entrenamiento!$AG$12</f>
        <v>0</v>
      </c>
      <c r="D12" s="269">
        <f>round(((VLOOKUP(Programacion!$I$2 &amp; Programacion!$I$3, Calculos!$B$3:$L$12, 5, 0)/100)*Programacion!$I$8)*VLOOKUP((Programacion!$I$7+(VLOOKUP(Programacion!$I$2 &amp; Programacion!$I$3, Calculos!$B$3:$L$12, 10, 0)))/100,Ref!$A$2:$K$22,8,0),0)-Entrenamiento!$J$12-Entrenamiento!$P$12-Entrenamiento!$V$12-Entrenamiento!$AB$12-Entrenamiento!$AH$12</f>
        <v>0</v>
      </c>
      <c r="E12" s="270">
        <f>round(((VLOOKUP(Programacion!$I$2 &amp; Programacion!$I$3, Calculos!$B$3:$L$12, 6, 0)/100)*Programacion!$I$8)*VLOOKUP((Programacion!$I$7+(VLOOKUP(Programacion!$I$2 &amp; Programacion!$I$3, Calculos!$B$3:$L$12, 11, 0)))/100,Ref!$A$2:$K$22,8,0),0)-Entrenamiento!$K$12-Entrenamiento!$Q$12-Entrenamiento!$W$12-Entrenamiento!$AC$12-Entrenamiento!$AI$12</f>
        <v>0</v>
      </c>
      <c r="F12" s="272">
        <f>round(IFERROR(VLOOKUP($I$3, Ejercicios!$A:$B, 2, FALSE) * 0.85,"85%") ,0)</f>
        <v>98</v>
      </c>
      <c r="G12" s="249">
        <v>1.0</v>
      </c>
      <c r="H12" s="250">
        <v>2.0</v>
      </c>
      <c r="I12" s="251">
        <v>2.0</v>
      </c>
      <c r="J12" s="252">
        <v>5.0</v>
      </c>
      <c r="K12" s="265">
        <v>2.0</v>
      </c>
      <c r="L12" s="272">
        <f>IFERROR(VLOOKUP($O$3, Ejercicios!$A:$B, 2, FALSE) * 0.85,"85%") </f>
        <v>97.75</v>
      </c>
      <c r="M12" s="249">
        <v>3.0</v>
      </c>
      <c r="N12" s="250">
        <v>2.0</v>
      </c>
      <c r="O12" s="251">
        <v>1.0</v>
      </c>
      <c r="P12" s="252">
        <v>3.0</v>
      </c>
      <c r="Q12" s="265">
        <v>2.0</v>
      </c>
      <c r="R12" s="272">
        <f>IFERROR(VLOOKUP($U$3, Ejercicios!$A:$B, 2, FALSE) * 0.85,"85%") </f>
        <v>97.75</v>
      </c>
      <c r="S12" s="249">
        <v>1.0</v>
      </c>
      <c r="T12" s="250">
        <v>1.0</v>
      </c>
      <c r="U12" s="251">
        <v>2.0</v>
      </c>
      <c r="V12" s="252"/>
      <c r="W12" s="265">
        <v>1.0</v>
      </c>
      <c r="X12" s="272" t="str">
        <f>IFERROR(VLOOKUP($AA$3, Ejercicios!$A:$B, 2, FALSE) * 0.85,"85%") </f>
        <v>85%</v>
      </c>
      <c r="Y12" s="249"/>
      <c r="Z12" s="250"/>
      <c r="AA12" s="273"/>
      <c r="AB12" s="252"/>
      <c r="AC12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AD12" s="272" t="str">
        <f>IFERROR(VLOOKUP($AG$3, Ejercicios!$A:$B, 2, FALSE) * 0.85,"85%") </f>
        <v>85%</v>
      </c>
      <c r="AE12" s="267"/>
      <c r="AF12" s="255"/>
      <c r="AG12" s="256"/>
      <c r="AH12" s="257"/>
      <c r="AI12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</row>
    <row r="13">
      <c r="A13" s="271">
        <f>round(((VLOOKUP(Programacion!$I$2 &amp; Programacion!$I$3, Calculos!$B$3:$L$12, 2, 0)/100)*Programacion!$I$8)*VLOOKUP((Programacion!$I$7+(VLOOKUP(Programacion!$I$2 &amp; Programacion!$I$3, Calculos!$B$3:$L$12, 7, 0)))/100,Ref!$A$2:$K$22,9,0),0)-Entrenamiento!$G$13-Entrenamiento!$S$13-Entrenamiento!$Y$13-Entrenamiento!$AE$13-Entrenamiento!$M$13</f>
        <v>0</v>
      </c>
      <c r="B13" s="269">
        <f>ROUND(((VLOOKUP(Programacion!$I$2 &amp; Programacion!$I$3, Calculos!$B$3:$L$12, 3, 0)/100)*Programacion!$I$8)*VLOOKUP((Programacion!$I$7+(VLOOKUP(Programacion!$I$2 &amp; Programacion!$I$3, Calculos!$B$3:$L$12, 8, 0)))/100,Ref!$A$2:$K$22,9,0),0)-Entrenamiento!$H$13-Entrenamiento!$N$13-Entrenamiento!$T$13-Entrenamiento!$Z$13-Entrenamiento!$AF$13</f>
        <v>0</v>
      </c>
      <c r="C13" s="269">
        <f>round(((VLOOKUP(Programacion!$I$2 &amp; Programacion!$I$3, Calculos!$B$3:$L$12, 4, 0)/100)*Programacion!$I$8)*VLOOKUP((Programacion!$I$7+(VLOOKUP(Programacion!$I$2 &amp; Programacion!$I$3, Calculos!$B$3:$L$12, 9, 0)))/100,Ref!$A$2:$K$22,9,0),0)-Entrenamiento!$I$13-Entrenamiento!$O$13-Entrenamiento!$U$13-Entrenamiento!$AA$13-Entrenamiento!$AG$13</f>
        <v>0</v>
      </c>
      <c r="D13" s="269">
        <f>round(((VLOOKUP(Programacion!$I$2 &amp; Programacion!$I$3, Calculos!$B$3:$L$12, 5, 0)/100)*Programacion!$I$8)*VLOOKUP((Programacion!$I$7+(VLOOKUP(Programacion!$I$2 &amp; Programacion!$I$3, Calculos!$B$3:$L$12, 10, 0)))/100,Ref!$A$2:$K$22,9,0),0)-Entrenamiento!$J$13-Entrenamiento!$P$13-Entrenamiento!$V$13-Entrenamiento!$AB$13-Entrenamiento!$AH$13</f>
        <v>0</v>
      </c>
      <c r="E13" s="270">
        <f>round(((VLOOKUP(Programacion!$I$2 &amp; Programacion!$I$3, Calculos!$B$3:$L$12, 6, 0)/100)*Programacion!$I$8)*VLOOKUP((Programacion!$I$7+(VLOOKUP(Programacion!$I$2 &amp; Programacion!$I$3, Calculos!$B$3:$L$12, 11, 0)))/100,Ref!$A$2:$K$22,9,0),0)-Entrenamiento!$K$13-Entrenamiento!$Q$13-Entrenamiento!$W$13-Entrenamiento!$AC$13-Entrenamiento!$AI$13</f>
        <v>0</v>
      </c>
      <c r="F13" s="274">
        <f>round(IFERROR(VLOOKUP($I$3, Ejercicios!$A:$B, 2, FALSE) * 0.9,"90%"),0) </f>
        <v>104</v>
      </c>
      <c r="G13" s="249"/>
      <c r="H13" s="250"/>
      <c r="I13" s="273"/>
      <c r="J13" s="252"/>
      <c r="K13" s="265">
        <v>1.0</v>
      </c>
      <c r="L13" s="274">
        <f>round(IFERROR(VLOOKUP($O$3, Ejercicios!$A:$B, 2, FALSE) * 0.9,"90%"),0) </f>
        <v>104</v>
      </c>
      <c r="M13" s="249"/>
      <c r="N13" s="250"/>
      <c r="O13" s="273"/>
      <c r="P13" s="257"/>
      <c r="Q13" s="265"/>
      <c r="R13" s="274">
        <f>round(IFERROR(VLOOKUP($U$3, Ejercicios!$A:$B, 2, FALSE) * 0.9,"90%"),0) </f>
        <v>104</v>
      </c>
      <c r="S13" s="249">
        <v>2.0</v>
      </c>
      <c r="T13" s="250">
        <v>2.0</v>
      </c>
      <c r="U13" s="251">
        <v>3.0</v>
      </c>
      <c r="V13" s="252">
        <v>3.0</v>
      </c>
      <c r="W13" s="265">
        <v>1.0</v>
      </c>
      <c r="X13" s="274" t="str">
        <f>IFERROR(VLOOKUP($AA$3, Ejercicios!$A:$B, 2, FALSE) * 0.9,"90%") </f>
        <v>90%</v>
      </c>
      <c r="Y13" s="267"/>
      <c r="Z13" s="250"/>
      <c r="AA13" s="273"/>
      <c r="AB13" s="252"/>
      <c r="AC13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AD13" s="274" t="str">
        <f>IFERROR(VLOOKUP($AG$3, Ejercicios!$A:$B, 2, FALSE) * 0.9,"90%") </f>
        <v>90%</v>
      </c>
      <c r="AE13" s="267"/>
      <c r="AF13" s="255"/>
      <c r="AG13" s="256"/>
      <c r="AH13" s="257"/>
      <c r="AI13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</row>
    <row r="14">
      <c r="A14" s="271">
        <f>round(((VLOOKUP(Programacion!$I$2 &amp; Programacion!$I$3, Calculos!$B$3:$L$12, 2, 0)/100)*Programacion!$I$8)*VLOOKUP((Programacion!$I$7+(VLOOKUP(Programacion!$I$2 &amp; Programacion!$I$3, Calculos!$B$3:$L$12, 7, 0)))/100,Ref!$A$2:$K$22,10,0),0)-Entrenamiento!$G$14-Entrenamiento!$S$14-Entrenamiento!$Y$14-Entrenamiento!$AE$14-Entrenamiento!$M$14</f>
        <v>0</v>
      </c>
      <c r="B14" s="269">
        <f>ROUND(((VLOOKUP(Programacion!$I$2 &amp; Programacion!$I$3, Calculos!$B$3:$L$12, 3, 0)/100)*Programacion!$I$8)*VLOOKUP((Programacion!$I$7+(VLOOKUP(Programacion!$I$2 &amp; Programacion!$I$3, Calculos!$B$3:$L$12, 8, 0)))/100,Ref!$A$2:$K$22,10,0),0)-Entrenamiento!$H$14-Entrenamiento!$N$14-Entrenamiento!$T$14-Entrenamiento!$Z$14-Entrenamiento!$AF$14</f>
        <v>0</v>
      </c>
      <c r="C14" s="269">
        <f>round(((VLOOKUP(Programacion!$I$2 &amp; Programacion!$I$3, Calculos!$B$3:$L$12, 4, 0)/100)*Programacion!$I$8)*VLOOKUP((Programacion!$I$7+(VLOOKUP(Programacion!$I$2 &amp; Programacion!$I$3, Calculos!$B$3:$L$12, 9, 0)))/100,Ref!$A$2:$K$22,10,0),0)-Entrenamiento!$I$14-Entrenamiento!$O$14-Entrenamiento!$U$14-Entrenamiento!$AA$14-Entrenamiento!$AG$14</f>
        <v>0</v>
      </c>
      <c r="D14" s="269">
        <f>round(((VLOOKUP(Programacion!$I$2 &amp; Programacion!$I$3, Calculos!$B$3:$L$12, 5, 0)/100)*Programacion!$I$8)*VLOOKUP((Programacion!$I$7+(VLOOKUP(Programacion!$I$2 &amp; Programacion!$I$3, Calculos!$B$3:$L$12, 10, 0)))/100,Ref!$A$2:$K$22,10,0),0)-Entrenamiento!$J$14-Entrenamiento!$P$14-Entrenamiento!$V$14-Entrenamiento!$AB$14-Entrenamiento!$AH$14</f>
        <v>0</v>
      </c>
      <c r="E14" s="270">
        <f>round(((VLOOKUP(Programacion!$I$2 &amp; Programacion!$I$3, Calculos!$B$3:$L$12, 6, 0)/100)*Programacion!$I$8)*VLOOKUP((Programacion!$I$7+(VLOOKUP(Programacion!$I$2 &amp; Programacion!$I$3, Calculos!$B$3:$L$12, 11, 0)))/100,Ref!$A$2:$K$22,10,0),0)-Entrenamiento!$K$14-Entrenamiento!$Q$14-Entrenamiento!$W$14-Entrenamiento!$AC$14-Entrenamiento!$AI$14</f>
        <v>0</v>
      </c>
      <c r="F14" s="274">
        <f>round(IFERROR(VLOOKUP($I$3, Ejercicios!$A:$B, 2, FALSE) * 0.95,"95%") ,0)</f>
        <v>109</v>
      </c>
      <c r="G14" s="249"/>
      <c r="H14" s="250"/>
      <c r="I14" s="273"/>
      <c r="J14" s="257"/>
      <c r="K14" s="265"/>
      <c r="L14" s="274">
        <f>IFERROR(VLOOKUP($O$3, Ejercicios!$A:$B, 2, FALSE) * 0.95,"95%") </f>
        <v>109.25</v>
      </c>
      <c r="M14" s="249"/>
      <c r="N14" s="250"/>
      <c r="O14" s="273"/>
      <c r="P14" s="257"/>
      <c r="Q14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R14" s="274">
        <f>IFERROR(VLOOKUP($U$3, Ejercicios!$A:$B, 2, FALSE) * 0.95,"95%") </f>
        <v>109.25</v>
      </c>
      <c r="S14" s="249"/>
      <c r="T14" s="250"/>
      <c r="U14" s="273"/>
      <c r="V14" s="257"/>
      <c r="W14" s="265">
        <v>1.0</v>
      </c>
      <c r="X14" s="274" t="str">
        <f>IFERROR(VLOOKUP($AA$3, Ejercicios!$A:$B, 2, FALSE) * 0.95,"95%") </f>
        <v>95%</v>
      </c>
      <c r="Y14" s="267"/>
      <c r="Z14" s="255"/>
      <c r="AA14" s="273"/>
      <c r="AB14" s="257"/>
      <c r="AC14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AD14" s="274" t="str">
        <f>IFERROR(VLOOKUP($AG$3, Ejercicios!$A:$B, 2, FALSE) * 0.95,"95%") </f>
        <v>95%</v>
      </c>
      <c r="AE14" s="267"/>
      <c r="AF14" s="255"/>
      <c r="AG14" s="256"/>
      <c r="AH14" s="257"/>
      <c r="AI14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</row>
    <row r="15">
      <c r="A15" s="275">
        <f>round(((VLOOKUP(Programacion!$I$2 &amp; Programacion!$I$3, Calculos!$B$3:$L$12, 2, 0)/100)*Programacion!$I$8)*VLOOKUP((Programacion!$I$7+(VLOOKUP(Programacion!$I$2 &amp; Programacion!$I$3, Calculos!$B$3:$L$12, 7, 0)))/100,Ref!$A$2:$K$22,11,0),0)-Entrenamiento!$G$15-Entrenamiento!$S$15-Entrenamiento!$Y$15-Entrenamiento!$AE$15-Entrenamiento!$M$15</f>
        <v>0</v>
      </c>
      <c r="B15" s="276">
        <f>ROUND(((VLOOKUP(Programacion!$I$2 &amp; Programacion!$I$3, Calculos!$B$3:$L$12, 3, 0)/100)*Programacion!$I$8)*VLOOKUP((Programacion!$I$7+(VLOOKUP(Programacion!$I$2 &amp; Programacion!$I$3, Calculos!$B$3:$L$12, 8, 0)))/100,Ref!$A$2:$K$22,11,0),0)-Entrenamiento!$H$15-Entrenamiento!$N$15-Entrenamiento!$T$15-Entrenamiento!$Z$15-Entrenamiento!$AF$15</f>
        <v>0</v>
      </c>
      <c r="C15" s="276">
        <f>round(((VLOOKUP(Programacion!$I$2 &amp; Programacion!$I$3, Calculos!$B$3:$L$12, 4, 0)/100)*Programacion!$I$8)*VLOOKUP((Programacion!$I$7+(VLOOKUP(Programacion!$I$2 &amp; Programacion!$I$3, Calculos!$B$3:$L$12, 9, 0)))/100,Ref!$A$2:$K$22,11,0),0)-Entrenamiento!$I$15-Entrenamiento!$O$15-Entrenamiento!$U$15-Entrenamiento!$AA$15-Entrenamiento!$AG$15</f>
        <v>0</v>
      </c>
      <c r="D15" s="276">
        <f>round(((VLOOKUP(Programacion!$I$2 &amp; Programacion!$I$3, Calculos!$B$3:$L$12, 5, 0)/100)*Programacion!$I$8)*VLOOKUP((Programacion!$I$7+(VLOOKUP(Programacion!$I$2 &amp; Programacion!$I$3, Calculos!$B$3:$L$12, 10, 0)))/100,Ref!$A$2:$K$22,11,0),0)-Entrenamiento!$J$15-Entrenamiento!$P$15-Entrenamiento!$V$15-Entrenamiento!$AB$15-Entrenamiento!$AH$15</f>
        <v>0</v>
      </c>
      <c r="E15" s="277">
        <f>round(((VLOOKUP(Programacion!$I$2 &amp; Programacion!$I$3, Calculos!$B$3:$L$12, 6, 0)/100)*Programacion!$I$8)*VLOOKUP((Programacion!$I$7+(VLOOKUP(Programacion!$I$2 &amp; Programacion!$I$3, Calculos!$B$3:$L$12, 11, 0)))/100,Ref!$A$2:$K$22,11,0),0)-Entrenamiento!$K$15-Entrenamiento!$Q$15-Entrenamiento!$W$15-Entrenamiento!$AC$15-Entrenamiento!$AI$15</f>
        <v>0</v>
      </c>
      <c r="F15" s="278">
        <f>round(IFERROR(VLOOKUP($I$3, Ejercicios!$A:$B, 2, FALSE) * 1,"100%") ,0)</f>
        <v>115</v>
      </c>
      <c r="G15" s="279"/>
      <c r="H15" s="280"/>
      <c r="I15" s="281"/>
      <c r="J15" s="282"/>
      <c r="K15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L15" s="278">
        <f>IFERROR(VLOOKUP($O$3, Ejercicios!$A:$B, 2, FALSE) * 1,"100%") </f>
        <v>115</v>
      </c>
      <c r="M15" s="284"/>
      <c r="N15" s="280"/>
      <c r="O15" s="281"/>
      <c r="P15" s="282"/>
      <c r="Q15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R15" s="278">
        <f>IFERROR(VLOOKUP($U$3, Ejercicios!$A:$B, 2, FALSE) * 1,"100%") </f>
        <v>115</v>
      </c>
      <c r="S15" s="279"/>
      <c r="T15" s="285"/>
      <c r="U15" s="281"/>
      <c r="V15" s="282"/>
      <c r="W15" s="283"/>
      <c r="X15" s="278" t="str">
        <f>IFERROR(VLOOKUP($AA$3, Ejercicios!$A:$B, 2, FALSE) * 1,"100%") </f>
        <v>100%</v>
      </c>
      <c r="Y15" s="284"/>
      <c r="Z15" s="285"/>
      <c r="AA15" s="281"/>
      <c r="AB15" s="282"/>
      <c r="AC15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AD15" s="278" t="str">
        <f>IFERROR(VLOOKUP($AG$3, Ejercicios!$A:$B, 2, FALSE) * 1,"100%") </f>
        <v>100%</v>
      </c>
      <c r="AE15" s="284"/>
      <c r="AF15" s="285"/>
      <c r="AG15" s="286"/>
      <c r="AH15" s="282"/>
      <c r="AI15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</row>
    <row r="16">
      <c r="A16" s="287"/>
      <c r="B16" s="287"/>
      <c r="C16" s="287"/>
      <c r="D16" s="287"/>
      <c r="E16" s="287"/>
      <c r="F16" s="117"/>
      <c r="G16" s="117"/>
      <c r="H16" s="288"/>
      <c r="I16" s="123" t="s">
        <v>55</v>
      </c>
      <c r="J16" s="117"/>
      <c r="K16" s="126"/>
      <c r="L16" s="124"/>
      <c r="M16" s="118"/>
      <c r="N16" s="117"/>
      <c r="O16" s="123" t="s">
        <v>96</v>
      </c>
      <c r="P16" s="117"/>
      <c r="Q16" s="126"/>
      <c r="R16" s="124"/>
      <c r="S16" s="118"/>
      <c r="T16" s="117"/>
      <c r="U16" s="123" t="s">
        <v>55</v>
      </c>
      <c r="V16" s="117"/>
      <c r="W16" s="126"/>
      <c r="X16" s="124"/>
      <c r="Y16" s="118"/>
      <c r="Z16" s="117"/>
      <c r="AA16" s="123"/>
      <c r="AB16" s="117"/>
      <c r="AC16" s="126"/>
      <c r="AD16" s="124"/>
      <c r="AE16" s="117"/>
      <c r="AF16" s="117"/>
      <c r="AG16" s="118"/>
      <c r="AH16" s="117"/>
      <c r="AI16" s="126"/>
    </row>
    <row r="17">
      <c r="A17" s="289" t="s">
        <v>151</v>
      </c>
      <c r="B17" s="289" t="s">
        <v>151</v>
      </c>
      <c r="C17" s="289" t="s">
        <v>151</v>
      </c>
      <c r="D17" s="289" t="s">
        <v>151</v>
      </c>
      <c r="E17" s="289" t="s">
        <v>151</v>
      </c>
      <c r="F17" s="290" t="s">
        <v>126</v>
      </c>
      <c r="G17" s="140" t="s">
        <v>127</v>
      </c>
      <c r="H17" s="141" t="s">
        <v>127</v>
      </c>
      <c r="I17" s="140" t="s">
        <v>127</v>
      </c>
      <c r="J17" s="141" t="s">
        <v>127</v>
      </c>
      <c r="K17" s="140" t="s">
        <v>127</v>
      </c>
      <c r="L17" s="140" t="s">
        <v>126</v>
      </c>
      <c r="M17" s="141" t="s">
        <v>129</v>
      </c>
      <c r="N17" s="141" t="s">
        <v>129</v>
      </c>
      <c r="O17" s="141" t="s">
        <v>129</v>
      </c>
      <c r="P17" s="141" t="s">
        <v>129</v>
      </c>
      <c r="Q17" s="141" t="s">
        <v>129</v>
      </c>
      <c r="R17" s="140" t="s">
        <v>126</v>
      </c>
      <c r="S17" s="141" t="s">
        <v>130</v>
      </c>
      <c r="T17" s="141" t="s">
        <v>130</v>
      </c>
      <c r="U17" s="141" t="s">
        <v>130</v>
      </c>
      <c r="V17" s="141" t="s">
        <v>130</v>
      </c>
      <c r="W17" s="141" t="s">
        <v>130</v>
      </c>
      <c r="X17" s="140" t="s">
        <v>126</v>
      </c>
      <c r="Y17" s="141" t="s">
        <v>132</v>
      </c>
      <c r="Z17" s="141" t="s">
        <v>132</v>
      </c>
      <c r="AA17" s="141" t="s">
        <v>132</v>
      </c>
      <c r="AB17" s="141" t="s">
        <v>132</v>
      </c>
      <c r="AC17" s="141" t="s">
        <v>132</v>
      </c>
      <c r="AD17" s="140" t="s">
        <v>126</v>
      </c>
      <c r="AE17" s="141" t="s">
        <v>133</v>
      </c>
      <c r="AF17" s="141" t="s">
        <v>133</v>
      </c>
      <c r="AG17" s="141" t="s">
        <v>133</v>
      </c>
      <c r="AH17" s="141" t="s">
        <v>133</v>
      </c>
      <c r="AI17" s="141" t="s">
        <v>133</v>
      </c>
    </row>
    <row r="18">
      <c r="A18" s="148"/>
      <c r="B18" s="148"/>
      <c r="C18" s="148"/>
      <c r="D18" s="148"/>
      <c r="E18" s="148"/>
      <c r="F18" s="149" t="s">
        <v>87</v>
      </c>
      <c r="G18" s="140">
        <f>ROUND(VLOOKUP(Programacion!$I$4, Calculos!$A$14:$F$16, 2, 0)*(VLOOKUP(Programacion!$I$2 &amp; Programacion!$I$3, Calculos!$B$3:$L$12, 2, 0)/100)*Programacion!$I$13,0)-SUM(Entrenamiento!$G$19:$G$28)</f>
        <v>-9</v>
      </c>
      <c r="H18" s="141">
        <f>ROUND(VLOOKUP(Programacion!$I$4, Calculos!$A$14:$F$16, 2, 0)*(VLOOKUP(Programacion!$I$2 &amp; Programacion!$I$3, Calculos!$B$3:$L$12, 3, 0)/100)*Programacion!$I$13,0)-SUM(Entrenamiento!$H$19:$H$28)</f>
        <v>0</v>
      </c>
      <c r="I18" s="140">
        <f>ROUND(VLOOKUP(Programacion!$I$4, Calculos!$A$14:$F$16, 2, 0)*(VLOOKUP(Programacion!$I$2 &amp; Programacion!$I$3, Calculos!$B$3:$L$12, 4, 0)/100)*Programacion!$I$13,0)-SUM(Entrenamiento!$I$19:$I$28)</f>
        <v>0</v>
      </c>
      <c r="J18" s="141">
        <f>ROUND(VLOOKUP(Programacion!$I$4, Calculos!$A$14:$F$16, 2, 0)*(VLOOKUP(Programacion!$I$2 &amp; Programacion!$I$3, Calculos!$B$3:$L$12, 5, 0)/100)*Programacion!$I$13,0)-SUM(Entrenamiento!$J$19:$J$28)</f>
        <v>-1</v>
      </c>
      <c r="K18" s="140">
        <f>ROUND(VLOOKUP(Programacion!$I$4, Calculos!$A$14:$F$16, 2, 0)*(VLOOKUP(Programacion!$I$2 &amp; Programacion!$I$3, Calculos!$B$3:$L$12, 6, 0)/100)*Programacion!$I$13,0)-SUM(Entrenamiento!$K$19:$K$28)</f>
        <v>0</v>
      </c>
      <c r="L18" s="141" t="s">
        <v>87</v>
      </c>
      <c r="M18" s="140">
        <f>ROUND(VLOOKUP(Programacion!$I$4, Calculos!$A$14:$F$16, 3, 0)*(VLOOKUP(Programacion!$I$2 &amp; Programacion!$I$3, Calculos!$B$3:$L$12, 2, 0)/100)*Programacion!$I$13,0)-SUM(Entrenamiento!$M$19:$M$28)</f>
        <v>10</v>
      </c>
      <c r="N18" s="141">
        <f>ROUND(VLOOKUP(Programacion!$I$4, Calculos!$A$14:$F$16, 3, 0)*(VLOOKUP(Programacion!$I$2 &amp; Programacion!$I$3, Calculos!$B$3:$L$12, 3, 0)/100)*Programacion!$I$13,0)-SUM(Entrenamiento!$N$19:$N$28)</f>
        <v>0</v>
      </c>
      <c r="O18" s="140">
        <f>ROUND(VLOOKUP(Programacion!$I$4, Calculos!$A$14:$F$16, 3, 0)*(VLOOKUP(Programacion!$I$2 &amp; Programacion!$I$3, Calculos!$B$3:$L$12, 4, 0)/100)*Programacion!$I$13,0)-SUM(Entrenamiento!$O$19:$O$28)</f>
        <v>1</v>
      </c>
      <c r="P18" s="141">
        <f>ROUND(VLOOKUP(Programacion!$I$4, Calculos!$A$14:$F$16, 3, 0)*(VLOOKUP(Programacion!$I$2 &amp; Programacion!$I$3, Calculos!$B$3:$L$12, 5, 0)/100)*Programacion!$I$13,0)-SUM(Entrenamiento!$P$19:$P$28)</f>
        <v>0</v>
      </c>
      <c r="Q18" s="140">
        <f>ROUND(VLOOKUP(Programacion!$I$4, Calculos!$A$14:$F$16, 3, 0)*(VLOOKUP(Programacion!$I$2 &amp; Programacion!$I$3, Calculos!$B$3:$L$12, 6, 0)/100)*Programacion!$I$13,0)-SUM(Entrenamiento!$Q$19:$Q$28)</f>
        <v>-1</v>
      </c>
      <c r="R18" s="140"/>
      <c r="S18" s="140">
        <f>ROUND(VLOOKUP(Programacion!$I$4, Calculos!$A$14:$F$16, 4, 0)*(VLOOKUP(Programacion!$I$2 &amp; Programacion!$I$3, Calculos!$B$3:$L$12, 2, 0)/100)*Programacion!$I$13,0)-SUM(Entrenamiento!$S$19:$S$28)</f>
        <v>1</v>
      </c>
      <c r="T18" s="141">
        <f>ROUND(VLOOKUP(Programacion!$I$4, Calculos!$A$14:$F$16, 4, 0)*(VLOOKUP(Programacion!$I$2 &amp; Programacion!$I$3, Calculos!$B$3:$L$12, 3, 0)/100)*Programacion!$I$13,0)-SUM(Entrenamiento!$T$19:$T$28)</f>
        <v>0</v>
      </c>
      <c r="U18" s="140">
        <f>ROUND(VLOOKUP(Programacion!$I$4, Calculos!$A$14:$F$16, 4, 0)*(VLOOKUP(Programacion!$I$2 &amp; Programacion!$I$3, Calculos!$B$3:$L$12, 4, 0)/100)*Programacion!$I$13,0)-SUM(Entrenamiento!$U$19:$U$28)</f>
        <v>0</v>
      </c>
      <c r="V18" s="141">
        <f>ROUND(VLOOKUP(Programacion!$I$4, Calculos!$A$14:$F$16, 4, 0)*(VLOOKUP(Programacion!$I$2 &amp; Programacion!$I$3, Calculos!$B$3:$L$12, 5, 0)/100)*Programacion!$I$13,0)-SUM(Entrenamiento!$V$19:$V$28)</f>
        <v>0</v>
      </c>
      <c r="W18" s="140">
        <f>ROUND(VLOOKUP(Programacion!$I$4, Calculos!$A$14:$F$16, 4, 0)*(VLOOKUP(Programacion!$I$2 &amp; Programacion!$I$3, Calculos!$B$3:$L$12, 6, 0)/100)*Programacion!$I$13,0)-SUM(Entrenamiento!$W$19:$W$28)</f>
        <v>0</v>
      </c>
      <c r="X18" s="140"/>
      <c r="Y18" s="141"/>
      <c r="Z18" s="141"/>
      <c r="AA18" s="140"/>
      <c r="AB18" s="141"/>
      <c r="AC18" s="140">
        <f>ROUND(VLOOKUP(Programacion!$I$4, Calculos!$A$14:$F$16, 5, 0)*(VLOOKUP(Programacion!$I$2 &amp; Programacion!$I$3, Calculos!$B$3:$L$12, 6, 0)/100)*Programacion!$I$13,0)-SUM(Entrenamiento!$AC$19:$AC$28)</f>
        <v>0</v>
      </c>
      <c r="AD18" s="140"/>
      <c r="AE18" s="141">
        <f>ROUND(VLOOKUP(Programacion!$I$4, Calculos!$A$14:$F$16, 6, 0)*(VLOOKUP(Programacion!$I$2 &amp; Programacion!$I$3, Calculos!$B$3:$L$12, 2, 0)/100)*Programacion!$I$13,0)-SUM(Entrenamiento!$AE$19:$AE$28)</f>
        <v>0</v>
      </c>
      <c r="AF18" s="141">
        <f>ROUND(VLOOKUP(Programacion!$I$4, Calculos!$A$14:$F$16, 6, 0)*(VLOOKUP(Programacion!$I$2 &amp; Programacion!$I$3, Calculos!$B$3:$L$12, 3, 0)/100)*Programacion!$I$13,0)-SUM(Entrenamiento!$AF$19:$AF$28)</f>
        <v>0</v>
      </c>
      <c r="AG18" s="140">
        <f>ROUND(VLOOKUP(Programacion!$I$4, Calculos!$A$14:$F$16, 6, 0)*(VLOOKUP(Programacion!$I$2 &amp; Programacion!$I$3, Calculos!$B$3:$L$12, 4, 0)/100)*Programacion!$I$13,0)-SUM(Entrenamiento!$AG$19:$AG$28)</f>
        <v>0</v>
      </c>
      <c r="AH18" s="141">
        <f>ROUND(VLOOKUP(Programacion!$I$4, Calculos!$A$14:$F$16, 6, 0)*(VLOOKUP(Programacion!$I$2 &amp; Programacion!$I$3, Calculos!$B$3:$L$12, 5, 0)/100)*Programacion!$I$13,0)-SUM(Entrenamiento!$AH$19:$AH$28)</f>
        <v>0</v>
      </c>
      <c r="AI18" s="140">
        <f>ROUND(VLOOKUP(Programacion!$I$4, Calculos!$A$14:$F$16, 6, 0)*(VLOOKUP(Programacion!$I$2 &amp; Programacion!$I$3, Calculos!$B$3:$L$12, 6, 0)/100)*Programacion!$I$13,0)-SUM(Entrenamiento!$AI$19:$AO$28)</f>
        <v>0</v>
      </c>
    </row>
    <row r="19">
      <c r="A19" s="291">
        <f t="shared" ref="A19:E19" si="3">A20</f>
        <v>0</v>
      </c>
      <c r="B19" s="291">
        <f t="shared" si="3"/>
        <v>0</v>
      </c>
      <c r="C19" s="291">
        <f t="shared" si="3"/>
        <v>0</v>
      </c>
      <c r="D19" s="291">
        <f t="shared" si="3"/>
        <v>0</v>
      </c>
      <c r="E19" s="291">
        <f t="shared" si="3"/>
        <v>0</v>
      </c>
      <c r="F19" s="208">
        <f>IFERROR(VLOOKUP($I$16, Ejercicios!$A:$B, 2, FALSE) * 0.55,"55%") </f>
        <v>77</v>
      </c>
      <c r="G19" s="210">
        <v>3.0</v>
      </c>
      <c r="H19" s="211">
        <v>5.0</v>
      </c>
      <c r="I19" s="212">
        <v>5.0</v>
      </c>
      <c r="J19" s="213"/>
      <c r="K19" s="214">
        <v>3.0</v>
      </c>
      <c r="L19" s="208">
        <f>IFERROR(VLOOKUP($O$16, Ejercicios!$A:$B, 2, FALSE) * 0.55,"55%") </f>
        <v>99</v>
      </c>
      <c r="M19" s="210"/>
      <c r="N19" s="211">
        <v>5.0</v>
      </c>
      <c r="O19" s="212">
        <v>6.0</v>
      </c>
      <c r="P19" s="213">
        <v>6.0</v>
      </c>
      <c r="Q19" s="214">
        <v>7.0</v>
      </c>
      <c r="R19" s="208">
        <f>IFERROR(VLOOKUP($U$16, Ejercicios!$A:$B, 2, FALSE) * 0.55,"55%") </f>
        <v>77</v>
      </c>
      <c r="S19" s="210"/>
      <c r="T19" s="211"/>
      <c r="U19" s="212">
        <v>5.0</v>
      </c>
      <c r="V19" s="220"/>
      <c r="W19" s="214"/>
      <c r="X19" s="208" t="str">
        <f>IFERROR(VLOOKUP($AA$16, Ejercicios!$A:$B, 2, FALSE) * 0.55,"55%") </f>
        <v>55%</v>
      </c>
      <c r="Y19" s="210"/>
      <c r="Z19" s="218"/>
      <c r="AA19" s="292"/>
      <c r="AB19" s="220"/>
      <c r="AC19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AD19" s="208" t="str">
        <f>IFERROR(VLOOKUP($AG$16, Ejercicios!$A:$B, 2, FALSE) * 0.55,"55%") </f>
        <v>55%</v>
      </c>
      <c r="AE19" s="210"/>
      <c r="AF19" s="218"/>
      <c r="AG19" s="219"/>
      <c r="AH19" s="220"/>
      <c r="AI19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</row>
    <row r="20">
      <c r="A20" s="293">
        <f>round(((VLOOKUP(Programacion!$I$2 &amp; Programacion!$I$3, Calculos!$B$3:$L$12, 2, 0)/100)*Programacion!$I$13)*VLOOKUP((Programacion!$I$12+(VLOOKUP(Programacion!$I$2 &amp; Programacion!$I$3, Calculos!$B$3:$L$12, 7, 0)))/100,Ref!$A$2:$K$22,2,0),0)+round(((VLOOKUP(Programacion!$I$2 &amp; Programacion!$I$3, Calculos!$B$3:$L$12, 2, 0)/100)*Programacion!$I$13)*VLOOKUP((Programacion!$I$12+(VLOOKUP(Programacion!$I$2 &amp; Programacion!$I$3, Calculos!$B$3:$L$12, 7, 0)))/100,Ref!$A$2:$K$22,4,0),0)+round(((VLOOKUP(Programacion!$I$2 &amp; Programacion!$I$3, Calculos!$B$3:$L$12, 2, 0)/100)*Programacion!$I$13)*VLOOKUP((Programacion!$I$12+(VLOOKUP(Programacion!$I$2 &amp; Programacion!$I$3, Calculos!$B$3:$L$12, 7, 0)))/100,Ref!$A$2:$K$22,3,0),0)
-SUM(Entrenamiento!$G$19:G21)-SUM(Entrenamiento!$M$19:$M$21)-SUM(Entrenamiento!$S$19:$S$21)-SUM(Entrenamiento!$Y$19:$Y$21)-SUM(Entrenamiento!$AE$19:$AE$21)</f>
        <v>0</v>
      </c>
      <c r="B20" s="234">
        <f>round(((VLOOKUP(Programacion!$I$2 &amp; Programacion!$I$3, Calculos!$B$3:$L$12, 3, 0)/100)*Programacion!$I$13)*VLOOKUP((Programacion!$I$12+(VLOOKUP(Programacion!$I$2 &amp; Programacion!$I$3, Calculos!$B$3:$L$12, 8, 0)))/100,Ref!$A$2:$K$22,2,0),0)+round(((VLOOKUP(Programacion!$I$2 &amp; Programacion!$I$3, Calculos!$B$3:$L$12, 3, 0)/100)*Programacion!$I$13)*VLOOKUP((Programacion!$I$12+(VLOOKUP(Programacion!$I$2 &amp; Programacion!$I$3, Calculos!$B$3:$L$12, 8, 0)))/100,Ref!$A$2:$K$22,3,0),0)+round(((VLOOKUP(Programacion!$I$2 &amp; Programacion!$I$3, Calculos!$B$3:$L$12, 3, 0)/100)*Programacion!$I$13)*VLOOKUP((Programacion!$I$12+(VLOOKUP(Programacion!$I$2 &amp; Programacion!$I$3, Calculos!$B$3:$L$12, 8, 0)))/100,Ref!$A$2:$K$22,4,0),0)-SUM(Entrenamiento!$H$19:H21)-SUM(Entrenamiento!$N$19:$N$21)-SUM(Entrenamiento!$T$19:$T$21)-SUM(Entrenamiento!$Z$19:$Z$21)-SUM(Entrenamiento!$AF$19:$AF$21)</f>
        <v>0</v>
      </c>
      <c r="C20" s="234">
        <f>round(((VLOOKUP(Programacion!$I$2 &amp; Programacion!$I$3, Calculos!$B$3:$L$12, 4, 0)/100)*Programacion!$I$13)*VLOOKUP((Programacion!$I$12+(VLOOKUP(Programacion!$I$2 &amp; Programacion!$I$3, Calculos!$B$3:$L$12, 9, 0)))/100,Ref!$A$2:$K$22,2,0),0)+round(((VLOOKUP(Programacion!$I$2 &amp; Programacion!$I$3, Calculos!$B$3:$L$12, 4, 0)/100)*Programacion!$I$13)*VLOOKUP((Programacion!$I$12+(VLOOKUP(Programacion!$I$2 &amp; Programacion!$I$3, Calculos!$B$3:$L$12, 9, 0)))/100,Ref!$A$2:$K$22,3,0),0)+round(((VLOOKUP(Programacion!$I$2 &amp; Programacion!$I$3, Calculos!$B$3:$L$12, 4, 0)/100)*Programacion!$I$13)*VLOOKUP((Programacion!$I$12+(VLOOKUP(Programacion!$I$2 &amp; Programacion!$I$3, Calculos!$B$3:$L$12, 9, 0)))/100,Ref!$A$2:$K$22,4,0),0)-SUM(Entrenamiento!$I$19:$I$21)-SUM(Entrenamiento!$O$19:O21)-SUM(Entrenamiento!$U$19:$U$21)-SUM(Entrenamiento!$AA$19:$AA$21)-SUM(Entrenamiento!$AG$19:$AG$21)</f>
        <v>0</v>
      </c>
      <c r="D20" s="234">
        <f>round(((VLOOKUP(Programacion!$I$2 &amp; Programacion!$I$3, Calculos!$B$3:$L$12, 5, 0)/100)*Programacion!$I$13)*VLOOKUP((Programacion!$I$12+(VLOOKUP(Programacion!$I$2 &amp; Programacion!$I$3, Calculos!$B$3:$L$12, 10, 0)))/100,Ref!$A$2:$K$22,2,0),0)+round(((VLOOKUP(Programacion!$I$2 &amp; Programacion!$I$3, Calculos!$B$3:$L$12, 5, 0)/100)*Programacion!$I$13)*VLOOKUP((Programacion!$I$12+(VLOOKUP(Programacion!$I$2 &amp; Programacion!$I$3, Calculos!$B$3:$L$12, 10, 0)))/100,Ref!$A$2:$K$22,3,0),0)+round(((VLOOKUP(Programacion!$I$2 &amp; Programacion!$I$3, Calculos!$B$3:$L$12, 5, 0)/100)*Programacion!$I$13)*VLOOKUP((Programacion!$I$12+(VLOOKUP(Programacion!$I$2 &amp; Programacion!$I$3, Calculos!$B$3:$L$12, 10, 0)))/100,Ref!$A$2:$K$22,4,0),0)-SUM(Entrenamiento!$J$19:J21)-SUM(Entrenamiento!$P$19:$P$21)-SUM(Entrenamiento!$V$19:$V$21)-SUM(Entrenamiento!$AB$19:ABZ$21)-SUM(Entrenamiento!$AH$19:$AH$21)</f>
        <v>0</v>
      </c>
      <c r="E20" s="294">
        <f>round(((VLOOKUP(Programacion!$I$2 &amp; Programacion!$I$3, Calculos!$B$3:$L$12, 6, 0)/100)*Programacion!$I$13)*VLOOKUP((Programacion!$I$12+(VLOOKUP(Programacion!$I$2 &amp; Programacion!$I$3, Calculos!$B$3:$L$12, 11, 0)))/100,Ref!$A$2:$K$22,2,0),0)+round(((VLOOKUP(Programacion!$I$2 &amp; Programacion!$I$3, Calculos!$B$3:$L$12, 6, 0)/100)*Programacion!$I$13)*VLOOKUP((Programacion!$I$12+(VLOOKUP(Programacion!$I$2 &amp; Programacion!$I$3, Calculos!$B$3:$L$12, 11, 0)))/100,Ref!$A$2:$K$22,3,0),0)+round(((VLOOKUP(Programacion!$I$2 &amp; Programacion!$I$3, Calculos!$B$3:$L$12, 6, 0)/100)*Programacion!$I$13)*VLOOKUP((Programacion!$I$12+(VLOOKUP(Programacion!$I$2 &amp; Programacion!$I$3, Calculos!$B$3:$L$12, 11, 0)))/100,Ref!$A$2:$K$22,4,0),0)-SUM(Entrenamiento!$K$19:K21)-SUM(Entrenamiento!$Q$19:$Q$21)-SUM(Entrenamiento!$W$19:$W$21)-SUM(Entrenamiento!AC$19:$AC$21)-SUM(Entrenamiento!$AI$19:$AI$21)</f>
        <v>0</v>
      </c>
      <c r="F20" s="208">
        <f>IFERROR(VLOOKUP($I$16, Ejercicios!$A:$B, 2, FALSE) * 0.6,"60%") </f>
        <v>84</v>
      </c>
      <c r="G20" s="249"/>
      <c r="H20" s="250"/>
      <c r="I20" s="251"/>
      <c r="J20" s="252">
        <v>6.0</v>
      </c>
      <c r="K20" s="253"/>
      <c r="L20" s="208">
        <f>IFERROR(VLOOKUP($O$16, Ejercicios!$A:$B, 2, FALSE) * 0.6,"60%") </f>
        <v>108</v>
      </c>
      <c r="M20" s="249">
        <v>8.0</v>
      </c>
      <c r="N20" s="250"/>
      <c r="O20" s="251"/>
      <c r="P20" s="252"/>
      <c r="Q20" s="254"/>
      <c r="R20" s="208">
        <f>IFERROR(VLOOKUP($U$16, Ejercicios!$A:$B, 2, FALSE) * 0.6,"60%") </f>
        <v>84</v>
      </c>
      <c r="S20" s="249"/>
      <c r="T20" s="250"/>
      <c r="U20" s="273"/>
      <c r="V20" s="252"/>
      <c r="W20" s="254"/>
      <c r="X20" s="208" t="str">
        <f>IFERROR(VLOOKUP($AA$16, Ejercicios!$A:$B, 2, FALSE) * 0.6,"60%") </f>
        <v>60%</v>
      </c>
      <c r="Y20" s="249"/>
      <c r="Z20" s="255"/>
      <c r="AA20" s="251"/>
      <c r="AB20" s="257"/>
      <c r="AC20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AD20" s="208" t="str">
        <f>IFERROR(VLOOKUP($AG$16, Ejercicios!$A:$B, 2, FALSE) * 0.6,"60%") </f>
        <v>60%</v>
      </c>
      <c r="AE20" s="249"/>
      <c r="AF20" s="255"/>
      <c r="AG20" s="256"/>
      <c r="AH20" s="257"/>
      <c r="AI20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</row>
    <row r="21">
      <c r="A21" s="295">
        <f t="shared" ref="A21:E21" si="4">A20</f>
        <v>0</v>
      </c>
      <c r="B21" s="295">
        <f t="shared" si="4"/>
        <v>0</v>
      </c>
      <c r="C21" s="295">
        <f t="shared" si="4"/>
        <v>0</v>
      </c>
      <c r="D21" s="295">
        <f t="shared" si="4"/>
        <v>0</v>
      </c>
      <c r="E21" s="295">
        <f t="shared" si="4"/>
        <v>0</v>
      </c>
      <c r="F21" s="208">
        <f>IFERROR(VLOOKUP($I$16, Ejercicios!$A:$B, 2, FALSE) * 0.65,"65%") </f>
        <v>91</v>
      </c>
      <c r="G21" s="249">
        <v>6.0</v>
      </c>
      <c r="H21" s="250">
        <v>4.0</v>
      </c>
      <c r="I21" s="251">
        <v>4.0</v>
      </c>
      <c r="J21" s="252"/>
      <c r="K21" s="254"/>
      <c r="L21" s="208">
        <f>IFERROR(VLOOKUP($O$16, Ejercicios!$A:$B, 2, FALSE) * 0.65,"65%") </f>
        <v>117</v>
      </c>
      <c r="M21" s="249"/>
      <c r="N21" s="250">
        <v>4.0</v>
      </c>
      <c r="O21" s="251">
        <v>6.0</v>
      </c>
      <c r="P21" s="252">
        <v>2.0</v>
      </c>
      <c r="Q21" s="253"/>
      <c r="R21" s="208">
        <f>IFERROR(VLOOKUP($U$16, Ejercicios!$A:$B, 2, FALSE) * 0.65,"65%") </f>
        <v>91</v>
      </c>
      <c r="S21" s="249"/>
      <c r="T21" s="250">
        <v>4.0</v>
      </c>
      <c r="U21" s="251"/>
      <c r="V21" s="257"/>
      <c r="W21" s="254"/>
      <c r="X21" s="208" t="str">
        <f>IFERROR(VLOOKUP($AA$16, Ejercicios!$A:$B, 2, FALSE) * 0.65,"65%") </f>
        <v>65%</v>
      </c>
      <c r="Y21" s="249"/>
      <c r="Z21" s="255"/>
      <c r="AA21" s="273"/>
      <c r="AB21" s="257"/>
      <c r="AC21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AD21" s="208" t="str">
        <f>IFERROR(VLOOKUP($AG$16, Ejercicios!$A:$B, 2, FALSE) * 0.65,"65%") </f>
        <v>65%</v>
      </c>
      <c r="AE21" s="249"/>
      <c r="AF21" s="255"/>
      <c r="AG21" s="256"/>
      <c r="AH21" s="257"/>
      <c r="AI21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</row>
    <row r="22">
      <c r="A22" s="296">
        <f>round(((VLOOKUP(Programacion!$I$2 &amp; Programacion!$I$3, Calculos!$B$3:$L$12, 2, 0)/100)*Programacion!$I$13)*VLOOKUP((Programacion!$I$12+(VLOOKUP(Programacion!$I$2 &amp; Programacion!$I$3, Calculos!$B$3:$L$12, 7, 0)))/100,Ref!$A$2:$K$22,5,0),0)-Entrenamiento!$G$22-Entrenamiento!$S$22-Entrenamiento!$Y$22-Entrenamiento!$AE$22-Entrenamiento!$M$22</f>
        <v>0</v>
      </c>
      <c r="B22" s="262">
        <f>ROUND(((VLOOKUP(Programacion!$I$2 &amp; Programacion!$I$3, Calculos!$B$3:$L$12, 3, 0)/100)*Programacion!$I$13)*VLOOKUP((Programacion!$I$12+(VLOOKUP(Programacion!$I$2 &amp; Programacion!$I$3, Calculos!$B$3:$L$12, 8, 0)))/100,Ref!$A$2:$K$22,5,0),0)-Entrenamiento!$H$22-Entrenamiento!$N$22-Entrenamiento!$T$22-Entrenamiento!$Z$22-Entrenamiento!$AF$22</f>
        <v>0</v>
      </c>
      <c r="C22" s="262">
        <f>round(((VLOOKUP(Programacion!$I$2 &amp; Programacion!$I$3, Calculos!$B$3:$L$12, 4, 0)/100)*Programacion!$I$13)*VLOOKUP((Programacion!$I$12+(VLOOKUP(Programacion!$I$2 &amp; Programacion!$I$3, Calculos!$B$3:$L$12, 9, 0)))/100,Ref!$A$2:$K$22,5,0),0)-Entrenamiento!$I$22-Entrenamiento!$O$22-Entrenamiento!$U$22-Entrenamiento!$AA$22-Entrenamiento!$AG$22</f>
        <v>0</v>
      </c>
      <c r="D22" s="262">
        <f>round(((VLOOKUP(Programacion!$I$2 &amp; Programacion!$I$3, Calculos!$B$3:$L$12, 5, 0)/100)*Programacion!$I$13)*VLOOKUP((Programacion!$I$12+(VLOOKUP(Programacion!$I$2 &amp; Programacion!$I$3, Calculos!$B$3:$L$12, 10, 0)))/100,Ref!$A$2:$K$22,5,0),0)-Entrenamiento!$J$22-Entrenamiento!$P$22-Entrenamiento!$V$22-Entrenamiento!$AB$22-Entrenamiento!$AH$22</f>
        <v>1</v>
      </c>
      <c r="E22" s="297">
        <f>round(((VLOOKUP(Programacion!$I$2 &amp; Programacion!$I$3, Calculos!$B$3:$L$12, 6, 0)/100)*Programacion!$I$13)*VLOOKUP((Programacion!$I$12+(VLOOKUP(Programacion!$I$2 &amp; Programacion!$I$3, Calculos!$B$3:$L$12, 11, 0)))/100,Ref!$A$2:$K$22,5,0),0)-Entrenamiento!$K$22-Entrenamiento!$Q$22-Entrenamiento!$W$22-Entrenamiento!$AC$22-Entrenamiento!$AI$22</f>
        <v>0</v>
      </c>
      <c r="F22" s="264">
        <f>IFERROR(VLOOKUP($I$16, Ejercicios!$A:$B, 2, FALSE) * 0.7,"70%") </f>
        <v>98</v>
      </c>
      <c r="G22" s="249">
        <v>4.0</v>
      </c>
      <c r="H22" s="250">
        <v>5.0</v>
      </c>
      <c r="I22" s="251"/>
      <c r="J22" s="252"/>
      <c r="K22" s="265">
        <v>2.0</v>
      </c>
      <c r="L22" s="264">
        <f>IFERROR(VLOOKUP($O$16, Ejercicios!$A:$B, 2, FALSE) * 0.7,"70%") </f>
        <v>126</v>
      </c>
      <c r="M22" s="249">
        <v>3.0</v>
      </c>
      <c r="N22" s="250">
        <v>4.0</v>
      </c>
      <c r="O22" s="251">
        <v>9.0</v>
      </c>
      <c r="P22" s="252">
        <v>2.0</v>
      </c>
      <c r="Q22" s="265">
        <v>2.0</v>
      </c>
      <c r="R22" s="264">
        <f>IFERROR(VLOOKUP($U$16, Ejercicios!$A:$B, 2, FALSE) * 0.7,"70%") </f>
        <v>98</v>
      </c>
      <c r="S22" s="249">
        <v>2.0</v>
      </c>
      <c r="T22" s="250"/>
      <c r="U22" s="251">
        <v>2.0</v>
      </c>
      <c r="V22" s="252">
        <v>3.0</v>
      </c>
      <c r="W22" s="265"/>
      <c r="X22" s="264" t="str">
        <f>IFERROR(VLOOKUP($AA$16, Ejercicios!$A:$B, 2, FALSE) * 0.7,"70%") </f>
        <v>70%</v>
      </c>
      <c r="Y22" s="249"/>
      <c r="Z22" s="250"/>
      <c r="AA22" s="251"/>
      <c r="AB22" s="252"/>
      <c r="AC22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AD22" s="264" t="str">
        <f>IFERROR(VLOOKUP($AG$16, Ejercicios!$A:$B, 2, FALSE) * 0.7,"70%") </f>
        <v>70%</v>
      </c>
      <c r="AE22" s="267"/>
      <c r="AF22" s="255"/>
      <c r="AG22" s="256"/>
      <c r="AH22" s="257"/>
      <c r="AI22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</row>
    <row r="23">
      <c r="A23" s="298">
        <f>round(((VLOOKUP(Programacion!$I$2 &amp; Programacion!$I$3, Calculos!$B$3:$L$12, 2, 0)/100)*Programacion!$I$13)*VLOOKUP((Programacion!$I$12+(VLOOKUP(Programacion!$I$2 &amp; Programacion!$I$3, Calculos!$B$3:$L$12, 7, 0)))/100,Ref!$A$2:$K$22,6,0),0)-Entrenamiento!$G$23-Entrenamiento!$S$23-Entrenamiento!$Y$23-Entrenamiento!$AE$23-Entrenamiento!$M$23</f>
        <v>0</v>
      </c>
      <c r="B23" s="269">
        <f>ROUND(((VLOOKUP(Programacion!$I$2 &amp; Programacion!$I$3, Calculos!$B$3:$L$12, 3, 0)/100)*Programacion!$I$13)*VLOOKUP((Programacion!$I$12+(VLOOKUP(Programacion!$I$2 &amp; Programacion!$I$3, Calculos!$B$3:$L$12, 8, 0)))/100,Ref!$A$2:$K$22,6,0),0)-Entrenamiento!$H$23-Entrenamiento!$N$23-Entrenamiento!$T$23-Entrenamiento!$Z$23-Entrenamiento!$AF$23</f>
        <v>0</v>
      </c>
      <c r="C23" s="269">
        <f>round(((VLOOKUP(Programacion!$I$2 &amp; Programacion!$I$3, Calculos!$B$3:$L$12, 4, 0)/100)*Programacion!$I$13)*VLOOKUP((Programacion!$I$12+(VLOOKUP(Programacion!$I$2 &amp; Programacion!$I$3, Calculos!$B$3:$L$12, 9, 0)))/100,Ref!$A$2:$K$22,6,0),0)-Entrenamiento!$I$23-Entrenamiento!$O$23-Entrenamiento!$U$23-Entrenamiento!$AA$23-Entrenamiento!$AG$23</f>
        <v>0</v>
      </c>
      <c r="D23" s="269">
        <f>round(((VLOOKUP(Programacion!$I$2 &amp; Programacion!$I$3, Calculos!$B$3:$L$12, 5, 0)/100)*Programacion!$I$13)*VLOOKUP((Programacion!$I$12+(VLOOKUP(Programacion!$I$2 &amp; Programacion!$I$3, Calculos!$B$3:$L$12, 10, 0)))/100,Ref!$A$2:$K$22,6,0),0)-Entrenamiento!$J$23-Entrenamiento!$P$23-Entrenamiento!$V$23-Entrenamiento!$AB$23-Entrenamiento!$AH$23</f>
        <v>0</v>
      </c>
      <c r="E23" s="299">
        <f>round(((VLOOKUP(Programacion!$I$2 &amp; Programacion!$I$3, Calculos!$B$3:$L$12, 6, 0)/100)*Programacion!$I$13)*VLOOKUP((Programacion!$I$12+(VLOOKUP(Programacion!$I$2 &amp; Programacion!$I$3, Calculos!$B$3:$L$12, 11, 0)))/100,Ref!$A$2:$K$22,6,0),0)-Entrenamiento!$K$23-Entrenamiento!$Q$23-Entrenamiento!$W$23-Entrenamiento!$AC$23-Entrenamiento!$AI$23</f>
        <v>0</v>
      </c>
      <c r="F23" s="264">
        <f>IFERROR(VLOOKUP($I$16, Ejercicios!$A:$B, 2, FALSE) * 0.75,"75%") </f>
        <v>105</v>
      </c>
      <c r="G23" s="249">
        <v>6.0</v>
      </c>
      <c r="H23" s="250">
        <v>2.0</v>
      </c>
      <c r="I23" s="251">
        <v>6.0</v>
      </c>
      <c r="J23" s="252">
        <v>5.0</v>
      </c>
      <c r="K23" s="265">
        <v>2.0</v>
      </c>
      <c r="L23" s="264">
        <f>IFERROR(VLOOKUP($O$16, Ejercicios!$A:$B, 2, FALSE) * 0.75,"75%") </f>
        <v>135</v>
      </c>
      <c r="M23" s="249">
        <v>2.0</v>
      </c>
      <c r="N23" s="250">
        <v>2.0</v>
      </c>
      <c r="O23" s="251">
        <v>6.0</v>
      </c>
      <c r="P23" s="252">
        <v>3.0</v>
      </c>
      <c r="Q23" s="265">
        <v>2.0</v>
      </c>
      <c r="R23" s="264">
        <f>IFERROR(VLOOKUP($U$16, Ejercicios!$A:$B, 2, FALSE) * 0.75,"75%") </f>
        <v>105</v>
      </c>
      <c r="S23" s="249">
        <v>2.0</v>
      </c>
      <c r="T23" s="250">
        <v>6.0</v>
      </c>
      <c r="U23" s="251"/>
      <c r="V23" s="252"/>
      <c r="W23" s="266"/>
      <c r="X23" s="264" t="str">
        <f>IFERROR(VLOOKUP($AA$16, Ejercicios!$A:$B, 2, FALSE) * 0.75,"75%") </f>
        <v>75%</v>
      </c>
      <c r="Y23" s="249"/>
      <c r="Z23" s="255"/>
      <c r="AA23" s="251"/>
      <c r="AB23" s="257"/>
      <c r="AC23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AD23" s="264" t="str">
        <f>IFERROR(VLOOKUP($AG$16, Ejercicios!$A:$B, 2, FALSE) * 0.75,"75%") </f>
        <v>75%</v>
      </c>
      <c r="AE23" s="267"/>
      <c r="AF23" s="255"/>
      <c r="AG23" s="256"/>
      <c r="AH23" s="257"/>
      <c r="AI23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</row>
    <row r="24">
      <c r="A24" s="298">
        <f>round(((VLOOKUP(Programacion!$I$2 &amp; Programacion!$I$3, Calculos!$B$3:$L$12, 2, 0)/100)*Programacion!$I$13)*VLOOKUP((Programacion!$I$12+(VLOOKUP(Programacion!$I$2 &amp; Programacion!$I$3, Calculos!$B$3:$L$12, 7, 0)))/100,Ref!$A$2:$K$22,7,0),0)-Entrenamiento!$G$24-Entrenamiento!$S$24-Entrenamiento!$Y$24-Entrenamiento!$AE$24-Entrenamiento!$M$24</f>
        <v>0</v>
      </c>
      <c r="B24" s="269">
        <f>ROUND(((VLOOKUP(Programacion!$I$2 &amp; Programacion!$I$3, Calculos!$B$3:$L$12, 3, 0)/100)*Programacion!$I$13)*VLOOKUP((Programacion!$I$12+(VLOOKUP(Programacion!$I$2 &amp; Programacion!$I$3, Calculos!$B$3:$L$12, 8, 0)))/100,Ref!$A$2:$K$22,7,0),0)-Entrenamiento!$H$24-Entrenamiento!$N$24-Entrenamiento!$T$24-Entrenamiento!$Z$24-Entrenamiento!$AF$24</f>
        <v>0</v>
      </c>
      <c r="C24" s="269">
        <f>round(((VLOOKUP(Programacion!$I$2 &amp; Programacion!$I$3, Calculos!$B$3:$L$12, 4, 0)/100)*Programacion!$I$13)*VLOOKUP((Programacion!$I$12+(VLOOKUP(Programacion!$I$2 &amp; Programacion!$I$3, Calculos!$B$3:$L$12, 9, 0)))/100,Ref!$A$2:$K$22,7,0),0)-Entrenamiento!$I$24-Entrenamiento!$O$24-Entrenamiento!$U$24-Entrenamiento!$AA$24-Entrenamiento!$AG$24</f>
        <v>0</v>
      </c>
      <c r="D24" s="269">
        <f>round(((VLOOKUP(Programacion!$I$2 &amp; Programacion!$I$3, Calculos!$B$3:$L$12, 5, 0)/100)*Programacion!$I$13)*VLOOKUP((Programacion!$I$12+(VLOOKUP(Programacion!$I$2 &amp; Programacion!$I$3, Calculos!$B$3:$L$12, 10, 0)))/100,Ref!$A$2:$K$22,7,0),0)-Entrenamiento!$J$24-Entrenamiento!$P$24-Entrenamiento!$V$24-Entrenamiento!$AB$24-Entrenamiento!$AH$24</f>
        <v>0</v>
      </c>
      <c r="E24" s="299">
        <f>round(((VLOOKUP(Programacion!$I$2 &amp; Programacion!$I$3, Calculos!$B$3:$L$12, 6, 0)/100)*Programacion!$I$13)*VLOOKUP((Programacion!$I$12+(VLOOKUP(Programacion!$I$2 &amp; Programacion!$I$3, Calculos!$B$3:$L$12, 11, 0)))/100,Ref!$A$2:$K$22,7,0),0)-Entrenamiento!$K$24-Entrenamiento!$Q$24-Entrenamiento!$W$24-Entrenamiento!$AC$24-Entrenamiento!$AI$24</f>
        <v>0</v>
      </c>
      <c r="F24" s="272">
        <f>IFERROR(VLOOKUP($I$16, Ejercicios!$A:$B, 2, FALSE) * 0.8,"80%") </f>
        <v>112</v>
      </c>
      <c r="G24" s="249">
        <v>9.0</v>
      </c>
      <c r="H24" s="250">
        <v>6.0</v>
      </c>
      <c r="I24" s="251">
        <v>10.0</v>
      </c>
      <c r="J24" s="252">
        <v>5.0</v>
      </c>
      <c r="K24" s="265">
        <v>3.0</v>
      </c>
      <c r="L24" s="272">
        <f>IFERROR(VLOOKUP($O$16, Ejercicios!$A:$B, 2, FALSE) * 0.8,"80%") </f>
        <v>144</v>
      </c>
      <c r="M24" s="249">
        <v>3.0</v>
      </c>
      <c r="N24" s="250">
        <v>12.0</v>
      </c>
      <c r="O24" s="251">
        <v>5.0</v>
      </c>
      <c r="P24" s="252">
        <v>4.0</v>
      </c>
      <c r="Q24" s="265">
        <v>2.0</v>
      </c>
      <c r="R24" s="272">
        <f>IFERROR(VLOOKUP($U$16, Ejercicios!$A:$B, 2, FALSE) * 0.8,"80%") </f>
        <v>112</v>
      </c>
      <c r="S24" s="249">
        <v>3.0</v>
      </c>
      <c r="T24" s="250"/>
      <c r="U24" s="251">
        <v>5.0</v>
      </c>
      <c r="V24" s="252">
        <v>3.0</v>
      </c>
      <c r="W24" s="265">
        <v>1.0</v>
      </c>
      <c r="X24" s="272" t="str">
        <f>IFERROR(VLOOKUP($AA$16, Ejercicios!$A:$B, 2, FALSE) * 0.8,"80%") </f>
        <v>80%</v>
      </c>
      <c r="Y24" s="249"/>
      <c r="Z24" s="250"/>
      <c r="AA24" s="251"/>
      <c r="AB24" s="252"/>
      <c r="AC24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AD24" s="272" t="str">
        <f>IFERROR(VLOOKUP($AG$16, Ejercicios!$A:$B, 2, FALSE) * 0.8,"80%") </f>
        <v>80%</v>
      </c>
      <c r="AE24" s="267"/>
      <c r="AF24" s="255"/>
      <c r="AG24" s="256"/>
      <c r="AH24" s="257"/>
      <c r="AI24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</row>
    <row r="25">
      <c r="A25" s="298">
        <f>round(((VLOOKUP(Programacion!$I$2 &amp; Programacion!$I$3, Calculos!$B$3:$L$12, 2, 0)/100)*Programacion!$I$13)*VLOOKUP((Programacion!$I$12+(VLOOKUP(Programacion!$I$2 &amp; Programacion!$I$3, Calculos!$B$3:$L$12, 7, 0)))/100,Ref!$A$2:$K$22,8,0),0)-Entrenamiento!$G$25-Entrenamiento!$S$25-Entrenamiento!$Y$25-Entrenamiento!$AE$25-Entrenamiento!$M$25</f>
        <v>0</v>
      </c>
      <c r="B25" s="269">
        <f>ROUND(((VLOOKUP(Programacion!$I$2 &amp; Programacion!$I$3, Calculos!$B$3:$L$12, 3, 0)/100)*Programacion!$I$13)*VLOOKUP((Programacion!$I$12+(VLOOKUP(Programacion!$I$2 &amp; Programacion!$I$3, Calculos!$B$3:$L$12, 8, 0)))/100,Ref!$A$2:$K$22,8,0),0)-Entrenamiento!$H$25-Entrenamiento!$N$25-Entrenamiento!$T$25-Entrenamiento!$Z$25-Entrenamiento!$AF$25</f>
        <v>0</v>
      </c>
      <c r="C25" s="269">
        <f>round(((VLOOKUP(Programacion!$I$2 &amp; Programacion!$I$3, Calculos!$B$3:$L$12, 4, 0)/100)*Programacion!$I$13)*VLOOKUP((Programacion!$I$12+(VLOOKUP(Programacion!$I$2 &amp; Programacion!$I$3, Calculos!$B$3:$L$12, 9, 0)))/100,Ref!$A$2:$K$22,8,0),0)-Entrenamiento!$I$25-Entrenamiento!$O$25-Entrenamiento!$U$25-Entrenamiento!$AA$25-Entrenamiento!$AG$25</f>
        <v>0</v>
      </c>
      <c r="D25" s="269">
        <f>round(((VLOOKUP(Programacion!$I$2 &amp; Programacion!$I$3, Calculos!$B$3:$L$12, 5, 0)/100)*Programacion!$I$13)*VLOOKUP((Programacion!$I$12+(VLOOKUP(Programacion!$I$2 &amp; Programacion!$I$3, Calculos!$B$3:$L$12, 10, 0)))/100,Ref!$A$2:$K$22,8,0),0)-Entrenamiento!$J$25-Entrenamiento!$P$25-Entrenamiento!$V$25-Entrenamiento!$AB$25-Entrenamiento!$AH$25</f>
        <v>0</v>
      </c>
      <c r="E25" s="299">
        <f>round(((VLOOKUP(Programacion!$I$2 &amp; Programacion!$I$3, Calculos!$B$3:$L$12, 6, 0)/100)*Programacion!$I$13)*VLOOKUP((Programacion!$I$12+(VLOOKUP(Programacion!$I$2 &amp; Programacion!$I$3, Calculos!$B$3:$L$12, 11, 0)))/100,Ref!$A$2:$K$22,8,0),0)-Entrenamiento!$K$25-Entrenamiento!$Q$25-Entrenamiento!$W$25-Entrenamiento!$AC$25-Entrenamiento!$AI$25</f>
        <v>0</v>
      </c>
      <c r="F25" s="272">
        <f>IFERROR(VLOOKUP($I$16, Ejercicios!$A:$B, 2, FALSE) * 0.85,"85%") </f>
        <v>119</v>
      </c>
      <c r="G25" s="249">
        <v>7.0</v>
      </c>
      <c r="H25" s="250">
        <v>6.0</v>
      </c>
      <c r="I25" s="251">
        <v>6.0</v>
      </c>
      <c r="J25" s="252">
        <v>5.0</v>
      </c>
      <c r="K25" s="265">
        <v>5.0</v>
      </c>
      <c r="L25" s="272">
        <f>IFERROR(VLOOKUP($O$16, Ejercicios!$A:$B, 2, FALSE) * 0.85,"85%") </f>
        <v>153</v>
      </c>
      <c r="M25" s="249">
        <v>4.0</v>
      </c>
      <c r="N25" s="250">
        <v>5.0</v>
      </c>
      <c r="O25" s="251">
        <v>6.0</v>
      </c>
      <c r="P25" s="252">
        <v>5.0</v>
      </c>
      <c r="Q25" s="265">
        <v>2.0</v>
      </c>
      <c r="R25" s="272">
        <f>IFERROR(VLOOKUP($U$16, Ejercicios!$A:$B, 2, FALSE) * 0.85,"85%") </f>
        <v>119</v>
      </c>
      <c r="S25" s="249">
        <v>3.0</v>
      </c>
      <c r="T25" s="250">
        <v>3.0</v>
      </c>
      <c r="U25" s="251">
        <v>4.0</v>
      </c>
      <c r="V25" s="252">
        <v>3.0</v>
      </c>
      <c r="W25" s="265">
        <v>2.0</v>
      </c>
      <c r="X25" s="272" t="str">
        <f>IFERROR(VLOOKUP($AA$16, Ejercicios!$A:$B, 2, FALSE) * 0.85,"85%") </f>
        <v>85%</v>
      </c>
      <c r="Y25" s="249"/>
      <c r="Z25" s="250"/>
      <c r="AA25" s="251"/>
      <c r="AB25" s="252"/>
      <c r="AC25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AD25" s="272" t="str">
        <f>IFERROR(VLOOKUP($AG$16, Ejercicios!$A:$B, 2, FALSE) * 0.85,"85%") </f>
        <v>85%</v>
      </c>
      <c r="AE25" s="267"/>
      <c r="AF25" s="255"/>
      <c r="AG25" s="256"/>
      <c r="AH25" s="257"/>
      <c r="AI25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</row>
    <row r="26">
      <c r="A26" s="298">
        <f>round(((VLOOKUP(Programacion!$I$2 &amp; Programacion!$I$3, Calculos!$B$3:$L$12, 2, 0)/100)*Programacion!$I$13)*VLOOKUP((Programacion!$I$12+(VLOOKUP(Programacion!$I$2 &amp; Programacion!$I$3, Calculos!$B$3:$L$12, 7, 0)))/100,Ref!$A$2:$K$22,9,0),0)-Entrenamiento!$G$26-Entrenamiento!$S$26-Entrenamiento!$Y$26-Entrenamiento!$AE$26-Entrenamiento!$M$26</f>
        <v>0</v>
      </c>
      <c r="B26" s="269">
        <f>ROUND(((VLOOKUP(Programacion!$I$2 &amp; Programacion!$I$3, Calculos!$B$3:$L$12, 3, 0)/100)*Programacion!$I$13)*VLOOKUP((Programacion!$I$12+(VLOOKUP(Programacion!$I$2 &amp; Programacion!$I$3, Calculos!$B$3:$L$12, 8, 0)))/100,Ref!$A$2:$K$22,9,0),0)-Entrenamiento!$H$26-Entrenamiento!$N$26-Entrenamiento!$T$26-Entrenamiento!$Z$26-Entrenamiento!$AF$26</f>
        <v>0</v>
      </c>
      <c r="C26" s="269">
        <f>round(((VLOOKUP(Programacion!$I$2 &amp; Programacion!$I$3, Calculos!$B$3:$L$12, 4, 0)/100)*Programacion!$I$13)*VLOOKUP((Programacion!$I$12+(VLOOKUP(Programacion!$I$2 &amp; Programacion!$I$3, Calculos!$B$3:$L$12, 9, 0)))/100,Ref!$A$2:$K$22,9,0),0)-Entrenamiento!$I$26-Entrenamiento!$O$26-Entrenamiento!$U$26-Entrenamiento!$AA$26-Entrenamiento!$AG$26</f>
        <v>0</v>
      </c>
      <c r="D26" s="269">
        <f>round(((VLOOKUP(Programacion!$I$2 &amp; Programacion!$I$3, Calculos!$B$3:$L$12, 5, 0)/100)*Programacion!$I$13)*VLOOKUP((Programacion!$I$12+(VLOOKUP(Programacion!$I$2 &amp; Programacion!$I$3, Calculos!$B$3:$L$12, 10, 0)))/100,Ref!$A$2:$K$22,9,0),0)-Entrenamiento!$J$26-Entrenamiento!$P$26-Entrenamiento!$V$26-Entrenamiento!$AB$26-Entrenamiento!$AH$26</f>
        <v>0</v>
      </c>
      <c r="E26" s="299">
        <f>round(((VLOOKUP(Programacion!$I$2 &amp; Programacion!$I$3, Calculos!$B$3:$L$12, 6, 0)/100)*Programacion!$I$13)*VLOOKUP((Programacion!$I$12+(VLOOKUP(Programacion!$I$2 &amp; Programacion!$I$3, Calculos!$B$3:$L$12, 11, 0)))/100,Ref!$A$2:$K$22,9,0),0)-Entrenamiento!$K$26-Entrenamiento!$Q$26-Entrenamiento!$W$26-Entrenamiento!$AC$26-Entrenamiento!$AI$26</f>
        <v>0</v>
      </c>
      <c r="F26" s="274">
        <f>IFERROR(VLOOKUP($I$16, Ejercicios!$A:$B, 2, FALSE) * 0.9,"90%") </f>
        <v>126</v>
      </c>
      <c r="G26" s="249"/>
      <c r="H26" s="250"/>
      <c r="I26" s="251">
        <v>1.0</v>
      </c>
      <c r="J26" s="252">
        <v>2.0</v>
      </c>
      <c r="K26" s="265"/>
      <c r="L26" s="274">
        <f>IFERROR(VLOOKUP($O$16, Ejercicios!$A:$B, 2, FALSE) * 0.9,"90%") </f>
        <v>162</v>
      </c>
      <c r="M26" s="249">
        <v>2.0</v>
      </c>
      <c r="N26" s="250">
        <v>3.0</v>
      </c>
      <c r="O26" s="251">
        <v>2.0</v>
      </c>
      <c r="P26" s="252">
        <v>2.0</v>
      </c>
      <c r="Q26" s="265">
        <v>2.0</v>
      </c>
      <c r="R26" s="274">
        <f>IFERROR(VLOOKUP($U$16, Ejercicios!$A:$B, 2, FALSE) * 0.9,"90%") </f>
        <v>126</v>
      </c>
      <c r="S26" s="249">
        <v>2.0</v>
      </c>
      <c r="T26" s="250">
        <v>2.0</v>
      </c>
      <c r="U26" s="251">
        <v>2.0</v>
      </c>
      <c r="V26" s="252">
        <v>1.0</v>
      </c>
      <c r="W26" s="265">
        <v>3.0</v>
      </c>
      <c r="X26" s="274" t="str">
        <f>IFERROR(VLOOKUP($AA$16, Ejercicios!$A:$B, 2, FALSE) * 0.9,"90%") </f>
        <v>90%</v>
      </c>
      <c r="Y26" s="249"/>
      <c r="Z26" s="250"/>
      <c r="AA26" s="251"/>
      <c r="AB26" s="252"/>
      <c r="AC2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AD26" s="274" t="str">
        <f>IFERROR(VLOOKUP($AG$16, Ejercicios!$A:$B, 2, FALSE) * 0.9,"90%") </f>
        <v>90%</v>
      </c>
      <c r="AE26" s="267"/>
      <c r="AF26" s="255"/>
      <c r="AG26" s="256"/>
      <c r="AH26" s="257"/>
      <c r="AI2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</row>
    <row r="27">
      <c r="A27" s="298">
        <f>round(((VLOOKUP(Programacion!$I$2 &amp; Programacion!$I$3, Calculos!$B$3:$L$12, 2, 0)/100)*Programacion!$I$13)*VLOOKUP((Programacion!$I$12+(VLOOKUP(Programacion!$I$2 &amp; Programacion!$I$3, Calculos!$B$3:$L$12, 7, 0)))/100,Ref!$A$2:$K$22,10,0),0)-Entrenamiento!$G$27-Entrenamiento!$S$27-Entrenamiento!$Y$27-Entrenamiento!$AE$27-Entrenamiento!$M$27</f>
        <v>0</v>
      </c>
      <c r="B27" s="269">
        <f>ROUND(((VLOOKUP(Programacion!$I$2 &amp; Programacion!$I$3, Calculos!$B$3:$L$12, 3, 0)/100)*Programacion!$I$13)*VLOOKUP((Programacion!$I$12+(VLOOKUP(Programacion!$I$2 &amp; Programacion!$I$3, Calculos!$B$3:$L$12, 8, 0)))/100,Ref!$A$2:$K$22,10,0),0)-Entrenamiento!$H$27-Entrenamiento!$N$27-Entrenamiento!$T$27-Entrenamiento!$Z$27-Entrenamiento!$AF$27</f>
        <v>0</v>
      </c>
      <c r="C27" s="269">
        <f>round(((VLOOKUP(Programacion!$I$2 &amp; Programacion!$I$3, Calculos!$B$3:$L$12, 4, 0)/100)*Programacion!$I$13)*VLOOKUP((Programacion!$I$12+(VLOOKUP(Programacion!$I$2 &amp; Programacion!$I$3, Calculos!$B$3:$L$12, 9, 0)))/100,Ref!$A$2:$K$22,10,0),0)-Entrenamiento!$I$27-Entrenamiento!$O$27-Entrenamiento!$U$27-Entrenamiento!$AA$27-Entrenamiento!$AG$27</f>
        <v>0</v>
      </c>
      <c r="D27" s="269">
        <f>round(((VLOOKUP(Programacion!$I$2 &amp; Programacion!$I$3, Calculos!$B$3:$L$12, 5, 0)/100)*Programacion!$I$13)*VLOOKUP((Programacion!$I$12+(VLOOKUP(Programacion!$I$2 &amp; Programacion!$I$3, Calculos!$B$3:$L$12, 10, 0)))/100,Ref!$A$2:$K$22,10,0),0)-Entrenamiento!$J$27-Entrenamiento!$P$27-Entrenamiento!$V$27-Entrenamiento!$AB$27-Entrenamiento!$AH$27</f>
        <v>0</v>
      </c>
      <c r="E27" s="299">
        <f>round(((VLOOKUP(Programacion!$I$2 &amp; Programacion!$I$3, Calculos!$B$3:$L$12, 6, 0)/100)*Programacion!$I$13)*VLOOKUP((Programacion!$I$12+(VLOOKUP(Programacion!$I$2 &amp; Programacion!$I$3, Calculos!$B$3:$L$12, 11, 0)))/100,Ref!$A$2:$K$22,10,0),0)-Entrenamiento!$K$27-Entrenamiento!$Q$27-Entrenamiento!$W$27-Entrenamiento!$AC$27-Entrenamiento!$AI$27</f>
        <v>0</v>
      </c>
      <c r="F27" s="274">
        <f>IFERROR(VLOOKUP($I$16, Ejercicios!$A:$B, 2, FALSE) * 0.95,"95%") </f>
        <v>133</v>
      </c>
      <c r="G27" s="249"/>
      <c r="H27" s="255"/>
      <c r="I27" s="273"/>
      <c r="J27" s="257"/>
      <c r="K27" s="266"/>
      <c r="L27" s="274">
        <f>IFERROR(VLOOKUP($O$16, Ejercicios!$A:$B, 2, FALSE) * 0.95,"95%") </f>
        <v>171</v>
      </c>
      <c r="M27" s="249">
        <v>1.0</v>
      </c>
      <c r="N27" s="250">
        <v>1.0</v>
      </c>
      <c r="O27" s="273"/>
      <c r="P27" s="252">
        <v>2.0</v>
      </c>
      <c r="Q27" s="265">
        <v>2.0</v>
      </c>
      <c r="R27" s="274">
        <f>IFERROR(VLOOKUP($U$16, Ejercicios!$A:$B, 2, FALSE) * 0.95,"95%") </f>
        <v>133</v>
      </c>
      <c r="S27" s="249">
        <v>1.0</v>
      </c>
      <c r="T27" s="250">
        <v>1.0</v>
      </c>
      <c r="U27" s="273"/>
      <c r="V27" s="252">
        <v>2.0</v>
      </c>
      <c r="W27" s="265">
        <v>1.0</v>
      </c>
      <c r="X27" s="274" t="str">
        <f>IFERROR(VLOOKUP($AA$16, Ejercicios!$A:$B, 2, FALSE) * 0.95,"95%") </f>
        <v>95%</v>
      </c>
      <c r="Y27" s="267"/>
      <c r="Z27" s="250"/>
      <c r="AA27" s="273"/>
      <c r="AB27" s="252"/>
      <c r="AC2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AD27" s="274" t="str">
        <f>IFERROR(VLOOKUP($AG$16, Ejercicios!$A:$B, 2, FALSE) * 0.95,"95%") </f>
        <v>95%</v>
      </c>
      <c r="AE27" s="267"/>
      <c r="AF27" s="255"/>
      <c r="AG27" s="256"/>
      <c r="AH27" s="257"/>
      <c r="AI2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</row>
    <row r="28">
      <c r="A28" s="300">
        <f>round(((VLOOKUP(Programacion!$I$2 &amp; Programacion!$I$3, Calculos!$B$3:$L$12, 2, 0)/100)*Programacion!$I$13)*VLOOKUP((Programacion!$I$12+(VLOOKUP(Programacion!$I$2 &amp; Programacion!$I$3, Calculos!$B$3:$L$12, 7, 0)))/100,Ref!$A$2:$K$22,11,0),0)-Entrenamiento!$G$28-Entrenamiento!$S$28-Entrenamiento!$Y$28-Entrenamiento!$AE$28-Entrenamiento!$M$28</f>
        <v>0</v>
      </c>
      <c r="B28" s="276">
        <f>ROUND(((VLOOKUP(Programacion!$I$2 &amp; Programacion!$I$3, Calculos!$B$3:$L$12, 3, 0)/100)*Programacion!$I$13)*VLOOKUP((Programacion!$I$12+(VLOOKUP(Programacion!$I$2 &amp; Programacion!$I$3, Calculos!$B$3:$L$12, 8, 0)))/100,Ref!$A$2:$K$22,11,0),0)-Entrenamiento!$H$28-Entrenamiento!$N$28-Entrenamiento!$T$28-Entrenamiento!$Z$28-Entrenamiento!$AF$28</f>
        <v>0</v>
      </c>
      <c r="C28" s="276">
        <f>round(((VLOOKUP(Programacion!$I$2 &amp; Programacion!$I$3, Calculos!$B$3:$L$12, 4, 0)/100)*Programacion!$I$13)*VLOOKUP((Programacion!$I$12+(VLOOKUP(Programacion!$I$2 &amp; Programacion!$I$3, Calculos!$B$3:$L$12, 9, 0)))/100,Ref!$A$2:$K$22,11,0),0)-Entrenamiento!$I$28-Entrenamiento!$O$28-Entrenamiento!$U$28-Entrenamiento!$AA$28-Entrenamiento!$AG$28</f>
        <v>0</v>
      </c>
      <c r="D28" s="276">
        <f>round(((VLOOKUP(Programacion!$I$2 &amp; Programacion!$I$3, Calculos!$B$3:$L$12, 5, 0)/100)*Programacion!$I$13)*VLOOKUP((Programacion!$I$12+(VLOOKUP(Programacion!$I$2 &amp; Programacion!$I$3, Calculos!$B$3:$L$12, 10, 0)))/100,Ref!$A$2:$K$22,11,0),0)-Entrenamiento!$J$28-Entrenamiento!$P$28-Entrenamiento!$V$28-Entrenamiento!$AB$28-Entrenamiento!$AH$28</f>
        <v>0</v>
      </c>
      <c r="E28" s="301">
        <f>round(((VLOOKUP(Programacion!$I$2 &amp; Programacion!$I$3, Calculos!$B$3:$L$12, 6, 0)/100)*Programacion!$I$13)*VLOOKUP((Programacion!$I$12+(VLOOKUP(Programacion!$I$2 &amp; Programacion!$I$3, Calculos!$B$3:$L$12, 11, 0)))/100,Ref!$A$2:$K$22,11,0),0)-Entrenamiento!$K$28-Entrenamiento!$Q$28-Entrenamiento!$W$28-Entrenamiento!$AC$28-Entrenamiento!$AI$28</f>
        <v>0</v>
      </c>
      <c r="F28" s="278">
        <f>IFERROR(VLOOKUP($I$16, Ejercicios!$A:$B, 2, FALSE) * 1,"100%") </f>
        <v>140</v>
      </c>
      <c r="G28" s="279"/>
      <c r="H28" s="280"/>
      <c r="I28" s="281"/>
      <c r="J28" s="302"/>
      <c r="K28" s="283"/>
      <c r="L28" s="278">
        <f>IFERROR(VLOOKUP($O$16, Ejercicios!$A:$B, 2, FALSE) * 1,"100%") </f>
        <v>180</v>
      </c>
      <c r="M28" s="284"/>
      <c r="N28" s="280"/>
      <c r="O28" s="281"/>
      <c r="P28" s="302">
        <v>2.0</v>
      </c>
      <c r="Q28" s="303">
        <v>1.0</v>
      </c>
      <c r="R28" s="278">
        <f>IFERROR(VLOOKUP($U$16, Ejercicios!$A:$B, 2, FALSE) * 1,"100%") </f>
        <v>140</v>
      </c>
      <c r="S28" s="279">
        <v>1.0</v>
      </c>
      <c r="T28" s="285"/>
      <c r="U28" s="281"/>
      <c r="V28" s="302">
        <v>1.0</v>
      </c>
      <c r="W28" s="303">
        <v>1.0</v>
      </c>
      <c r="X28" s="278" t="str">
        <f>IFERROR(VLOOKUP($AA$16, Ejercicios!$A:$B, 2, FALSE) * 1,"100%") </f>
        <v>100%</v>
      </c>
      <c r="Y28" s="284"/>
      <c r="Z28" s="285"/>
      <c r="AA28" s="304"/>
      <c r="AB28" s="302"/>
      <c r="AC28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AD28" s="278" t="str">
        <f>IFERROR(VLOOKUP($AG$16, Ejercicios!$A:$B, 2, FALSE) * 1,"100%") </f>
        <v>100%</v>
      </c>
      <c r="AE28" s="284"/>
      <c r="AF28" s="285"/>
      <c r="AG28" s="286"/>
      <c r="AH28" s="282"/>
      <c r="AI28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</row>
    <row r="29">
      <c r="A29" s="3"/>
      <c r="B29" s="3"/>
      <c r="C29" s="3"/>
      <c r="D29" s="3"/>
      <c r="E29" s="3"/>
      <c r="F29" s="124"/>
      <c r="G29" s="117"/>
      <c r="H29" s="288"/>
      <c r="I29" s="123" t="s">
        <v>82</v>
      </c>
      <c r="J29" s="117"/>
      <c r="K29" s="126"/>
      <c r="L29" s="124"/>
      <c r="M29" s="117"/>
      <c r="N29" s="288"/>
      <c r="O29" s="123" t="s">
        <v>70</v>
      </c>
      <c r="P29" s="117"/>
      <c r="Q29" s="126"/>
      <c r="R29" s="124"/>
      <c r="S29" s="117"/>
      <c r="T29" s="288"/>
      <c r="U29" s="123" t="s">
        <v>82</v>
      </c>
      <c r="V29" s="117"/>
      <c r="W29" s="126"/>
      <c r="X29" s="124"/>
      <c r="Y29" s="117"/>
      <c r="Z29" s="305"/>
      <c r="AA29" s="123"/>
      <c r="AB29" s="117"/>
      <c r="AC29" s="126"/>
      <c r="AD29" s="124"/>
      <c r="AE29" s="117"/>
      <c r="AF29" s="117"/>
      <c r="AG29" s="118"/>
      <c r="AH29" s="117"/>
      <c r="AI29" s="126"/>
    </row>
    <row r="30">
      <c r="A30" s="3"/>
      <c r="B30" s="3"/>
      <c r="C30" s="3"/>
      <c r="D30" s="3"/>
      <c r="E30" s="3"/>
      <c r="F30" s="306" t="s">
        <v>126</v>
      </c>
      <c r="G30" s="140" t="s">
        <v>127</v>
      </c>
      <c r="H30" s="141" t="s">
        <v>127</v>
      </c>
      <c r="I30" s="140" t="s">
        <v>127</v>
      </c>
      <c r="J30" s="141" t="s">
        <v>127</v>
      </c>
      <c r="K30" s="140" t="s">
        <v>127</v>
      </c>
      <c r="L30" s="140" t="s">
        <v>126</v>
      </c>
      <c r="M30" s="141" t="s">
        <v>129</v>
      </c>
      <c r="N30" s="141" t="s">
        <v>129</v>
      </c>
      <c r="O30" s="141" t="s">
        <v>129</v>
      </c>
      <c r="P30" s="141" t="s">
        <v>129</v>
      </c>
      <c r="Q30" s="141" t="s">
        <v>129</v>
      </c>
      <c r="R30" s="306" t="s">
        <v>126</v>
      </c>
      <c r="S30" s="141" t="s">
        <v>130</v>
      </c>
      <c r="T30" s="141" t="s">
        <v>130</v>
      </c>
      <c r="U30" s="141" t="s">
        <v>130</v>
      </c>
      <c r="V30" s="141" t="s">
        <v>130</v>
      </c>
      <c r="W30" s="141" t="s">
        <v>130</v>
      </c>
      <c r="X30" s="140" t="s">
        <v>126</v>
      </c>
      <c r="Y30" s="141" t="s">
        <v>132</v>
      </c>
      <c r="Z30" s="141" t="s">
        <v>132</v>
      </c>
      <c r="AA30" s="141" t="s">
        <v>132</v>
      </c>
      <c r="AB30" s="141" t="s">
        <v>132</v>
      </c>
      <c r="AC30" s="141" t="s">
        <v>132</v>
      </c>
      <c r="AD30" s="307" t="s">
        <v>126</v>
      </c>
      <c r="AE30" s="141" t="s">
        <v>133</v>
      </c>
      <c r="AF30" s="141" t="s">
        <v>133</v>
      </c>
      <c r="AG30" s="141" t="s">
        <v>133</v>
      </c>
      <c r="AH30" s="141" t="s">
        <v>133</v>
      </c>
      <c r="AI30" s="141" t="s">
        <v>133</v>
      </c>
    </row>
    <row r="31">
      <c r="A31" s="3"/>
      <c r="B31" s="3"/>
      <c r="C31" s="3"/>
      <c r="D31" s="3"/>
      <c r="E31" s="3"/>
      <c r="F31" s="208">
        <f>IFERROR(VLOOKUP($I$29, Ejercicios!$A:$B, 2, FALSE) * 0.55,"55%") </f>
        <v>13.75</v>
      </c>
      <c r="G31" s="210" t="s">
        <v>162</v>
      </c>
      <c r="H31" s="211"/>
      <c r="I31" s="212" t="s">
        <v>162</v>
      </c>
      <c r="J31" s="220"/>
      <c r="K31" s="214" t="s">
        <v>162</v>
      </c>
      <c r="L31" s="208">
        <f>IFERROR(VLOOKUP($O$29, Ejercicios!$A:$B, 2, FALSE) * 0.55,"55%") </f>
        <v>13.75</v>
      </c>
      <c r="M31" s="210"/>
      <c r="N31" s="218"/>
      <c r="O31" s="292"/>
      <c r="P31" s="220"/>
      <c r="Q31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R31" s="208">
        <f>IFERROR(VLOOKUP($U$29, Ejercicios!$A:$B, 2, FALSE) * 0.55,"55%") </f>
        <v>13.75</v>
      </c>
      <c r="S31" s="210"/>
      <c r="T31" s="218"/>
      <c r="U31" s="292"/>
      <c r="V31" s="220"/>
      <c r="W31" s="214" t="s">
        <v>163</v>
      </c>
      <c r="X31" s="208" t="str">
        <f>IFERROR(VLOOKUP($AA$29, Ejercicios!$A:$B, 2, FALSE) * 0.55,"55%") </f>
        <v>55%</v>
      </c>
      <c r="Y31" s="210"/>
      <c r="Z31" s="218"/>
      <c r="AA31" s="292"/>
      <c r="AB31" s="220"/>
      <c r="AC31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AD31" s="208" t="str">
        <f>IFERROR(VLOOKUP($AG$29, Ejercicios!$A:$B, 2, FALSE) * 0.55,"55%") </f>
        <v>55%</v>
      </c>
      <c r="AE31" s="210"/>
      <c r="AF31" s="218"/>
      <c r="AG31" s="219"/>
      <c r="AH31" s="220"/>
      <c r="AI31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</row>
    <row r="32">
      <c r="A32" s="3"/>
      <c r="B32" s="3"/>
      <c r="C32" s="3"/>
      <c r="D32" s="3"/>
      <c r="E32" s="3"/>
      <c r="F32" s="208">
        <f>IFERROR(VLOOKUP($I$29, Ejercicios!$A:$B, 2, FALSE) * 0.6,"60%") </f>
        <v>15</v>
      </c>
      <c r="G32" s="249"/>
      <c r="H32" s="255"/>
      <c r="I32" s="273"/>
      <c r="J32" s="257"/>
      <c r="K32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L32" s="208">
        <f>IFERROR(VLOOKUP($O$29, Ejercicios!$A:$B, 2, FALSE) * 0.6,"60%") </f>
        <v>15</v>
      </c>
      <c r="M32" s="249"/>
      <c r="N32" s="255"/>
      <c r="O32" s="273"/>
      <c r="P32" s="257"/>
      <c r="Q32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R32" s="208">
        <f>IFERROR(VLOOKUP($U$29, Ejercicios!$A:$B, 2, FALSE) * 0.6,"60%") </f>
        <v>15</v>
      </c>
      <c r="S32" s="249"/>
      <c r="T32" s="255"/>
      <c r="U32" s="273"/>
      <c r="V32" s="257"/>
      <c r="W32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X32" s="208" t="str">
        <f>IFERROR(VLOOKUP($AA$29, Ejercicios!$A:$B, 2, FALSE) * 0.6,"60%") </f>
        <v>60%</v>
      </c>
      <c r="Y32" s="249"/>
      <c r="Z32" s="255"/>
      <c r="AA32" s="273"/>
      <c r="AB32" s="257"/>
      <c r="AC32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AD32" s="208" t="str">
        <f>IFERROR(VLOOKUP($AG$29, Ejercicios!$A:$B, 2, FALSE) * 0.6,"60%") </f>
        <v>60%</v>
      </c>
      <c r="AE32" s="249"/>
      <c r="AF32" s="255"/>
      <c r="AG32" s="256"/>
      <c r="AH32" s="257"/>
      <c r="AI32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</row>
    <row r="33">
      <c r="A33" s="3"/>
      <c r="B33" s="3"/>
      <c r="C33" s="3"/>
      <c r="D33" s="3"/>
      <c r="E33" s="3"/>
      <c r="F33" s="208">
        <f>IFERROR(VLOOKUP($I$29, Ejercicios!$A:$B, 2, FALSE) * 0.65,"65%") </f>
        <v>16.25</v>
      </c>
      <c r="G33" s="249"/>
      <c r="H33" s="250"/>
      <c r="I33" s="273"/>
      <c r="J33" s="257"/>
      <c r="K33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L33" s="208">
        <f>IFERROR(VLOOKUP($O$29, Ejercicios!$A:$B, 2, FALSE) * 0.65,"65%") </f>
        <v>16.25</v>
      </c>
      <c r="M33" s="249"/>
      <c r="N33" s="255"/>
      <c r="O33" s="273"/>
      <c r="P33" s="257"/>
      <c r="Q33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R33" s="208">
        <f>IFERROR(VLOOKUP($U$29, Ejercicios!$A:$B, 2, FALSE) * 0.65,"65%") </f>
        <v>16.25</v>
      </c>
      <c r="S33" s="249" t="s">
        <v>163</v>
      </c>
      <c r="T33" s="255"/>
      <c r="U33" s="251" t="s">
        <v>163</v>
      </c>
      <c r="V33" s="257"/>
      <c r="W33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X33" s="208" t="str">
        <f>IFERROR(VLOOKUP($AA$29, Ejercicios!$A:$B, 2, FALSE) * 0.65,"65%") </f>
        <v>65%</v>
      </c>
      <c r="Y33" s="249"/>
      <c r="Z33" s="255"/>
      <c r="AA33" s="273"/>
      <c r="AB33" s="257"/>
      <c r="AC33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AD33" s="208" t="str">
        <f>IFERROR(VLOOKUP($AG$29, Ejercicios!$A:$B, 2, FALSE) * 0.65,"65%") </f>
        <v>65%</v>
      </c>
      <c r="AE33" s="249"/>
      <c r="AF33" s="255"/>
      <c r="AG33" s="256"/>
      <c r="AH33" s="257"/>
      <c r="AI33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</row>
    <row r="34">
      <c r="A34" s="3"/>
      <c r="B34" s="3"/>
      <c r="C34" s="3"/>
      <c r="D34" s="3"/>
      <c r="E34" s="3"/>
      <c r="F34" s="264">
        <f>IFERROR(VLOOKUP($I$29, Ejercicios!$A:$B, 2, FALSE) * 0.7,"70%") </f>
        <v>17.5</v>
      </c>
      <c r="G34" s="249"/>
      <c r="H34" s="250" t="s">
        <v>164</v>
      </c>
      <c r="I34" s="273"/>
      <c r="J34" s="257"/>
      <c r="K34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L34" s="264">
        <f>IFERROR(VLOOKUP($O$29, Ejercicios!$A:$B, 2, FALSE) * 0.7,"70%") </f>
        <v>17.5</v>
      </c>
      <c r="M34" s="249"/>
      <c r="N34" s="250"/>
      <c r="O34" s="251"/>
      <c r="P34" s="257"/>
      <c r="Q34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R34" s="264">
        <f>IFERROR(VLOOKUP($U$29, Ejercicios!$A:$B, 2, FALSE) * 0.7,"70%") </f>
        <v>17.5</v>
      </c>
      <c r="S34" s="267"/>
      <c r="T34" s="255"/>
      <c r="U34" s="273"/>
      <c r="V34" s="252"/>
      <c r="W34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X34" s="264" t="str">
        <f>IFERROR(VLOOKUP($AA$29, Ejercicios!$A:$B, 2, FALSE) * 0.7,"70%") </f>
        <v>70%</v>
      </c>
      <c r="Y34" s="249"/>
      <c r="Z34" s="255"/>
      <c r="AA34" s="251"/>
      <c r="AB34" s="257"/>
      <c r="AC34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AD34" s="264" t="str">
        <f>IFERROR(VLOOKUP($AG$29, Ejercicios!$A:$B, 2, FALSE) * 0.7,"70%") </f>
        <v>70%</v>
      </c>
      <c r="AE34" s="267"/>
      <c r="AF34" s="255"/>
      <c r="AG34" s="256"/>
      <c r="AH34" s="257"/>
      <c r="AI34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</row>
    <row r="35">
      <c r="A35" s="3"/>
      <c r="B35" s="3"/>
      <c r="C35" s="3"/>
      <c r="D35" s="3"/>
      <c r="E35" s="3"/>
      <c r="F35" s="264">
        <f>IFERROR(VLOOKUP($I$29, Ejercicios!$A:$B, 2, FALSE) * 0.75,"75%") </f>
        <v>18.75</v>
      </c>
      <c r="G35" s="267"/>
      <c r="H35" s="255"/>
      <c r="I35" s="251"/>
      <c r="J35" s="252"/>
      <c r="K35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L35" s="264">
        <f>IFERROR(VLOOKUP($O$29, Ejercicios!$A:$B, 2, FALSE) * 0.75,"75%") </f>
        <v>18.75</v>
      </c>
      <c r="M35" s="249"/>
      <c r="N35" s="255"/>
      <c r="O35" s="273"/>
      <c r="P35" s="257"/>
      <c r="Q35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R35" s="264">
        <f>IFERROR(VLOOKUP($U$29, Ejercicios!$A:$B, 2, FALSE) * 0.75,"75%") </f>
        <v>18.75</v>
      </c>
      <c r="S35" s="249"/>
      <c r="T35" s="255"/>
      <c r="U35" s="251"/>
      <c r="V35" s="257"/>
      <c r="W35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X35" s="264" t="str">
        <f>IFERROR(VLOOKUP($AA$29, Ejercicios!$A:$B, 2, FALSE) * 0.75,"75%") </f>
        <v>75%</v>
      </c>
      <c r="Y35" s="267"/>
      <c r="Z35" s="250"/>
      <c r="AA35" s="273"/>
      <c r="AB35" s="257"/>
      <c r="AC35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AD35" s="264" t="str">
        <f>IFERROR(VLOOKUP($AG$29, Ejercicios!$A:$B, 2, FALSE) * 0.75,"75%") </f>
        <v>75%</v>
      </c>
      <c r="AE35" s="267"/>
      <c r="AF35" s="255"/>
      <c r="AG35" s="256"/>
      <c r="AH35" s="257"/>
      <c r="AI35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</row>
    <row r="36">
      <c r="A36" s="3"/>
      <c r="B36" s="3"/>
      <c r="C36" s="3"/>
      <c r="D36" s="3"/>
      <c r="E36" s="3"/>
      <c r="F36" s="272">
        <f>IFERROR(VLOOKUP($I$29, Ejercicios!$A:$B, 2, FALSE) * 0.8,"80%") </f>
        <v>20</v>
      </c>
      <c r="G36" s="249"/>
      <c r="H36" s="255"/>
      <c r="I36" s="273"/>
      <c r="J36" s="252" t="s">
        <v>163</v>
      </c>
      <c r="K3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L36" s="272">
        <f>IFERROR(VLOOKUP($O$29, Ejercicios!$A:$B, 2, FALSE) * 0.8,"80%") </f>
        <v>20</v>
      </c>
      <c r="M36" s="249"/>
      <c r="N36" s="250"/>
      <c r="O36" s="251"/>
      <c r="P36" s="257"/>
      <c r="Q3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R36" s="272">
        <f>IFERROR(VLOOKUP($U$29, Ejercicios!$A:$B, 2, FALSE) * 0.8,"80%") </f>
        <v>20</v>
      </c>
      <c r="S36" s="267"/>
      <c r="T36" s="250" t="s">
        <v>165</v>
      </c>
      <c r="U36" s="273"/>
      <c r="V36" s="257"/>
      <c r="W3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X36" s="272" t="str">
        <f>IFERROR(VLOOKUP($AA$29, Ejercicios!$A:$B, 2, FALSE) * 0.8,"80%") </f>
        <v>80%</v>
      </c>
      <c r="Y36" s="249"/>
      <c r="Z36" s="255"/>
      <c r="AA36" s="273"/>
      <c r="AB36" s="252"/>
      <c r="AC3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AD36" s="272" t="str">
        <f>IFERROR(VLOOKUP($AG$29, Ejercicios!$A:$B, 2, FALSE) * 0.8,"80%") </f>
        <v>80%</v>
      </c>
      <c r="AE36" s="267"/>
      <c r="AF36" s="255"/>
      <c r="AG36" s="256"/>
      <c r="AH36" s="257"/>
      <c r="AI36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</row>
    <row r="37">
      <c r="A37" s="3"/>
      <c r="B37" s="3"/>
      <c r="C37" s="3"/>
      <c r="D37" s="3"/>
      <c r="E37" s="3"/>
      <c r="F37" s="272">
        <f>IFERROR(VLOOKUP($I$29, Ejercicios!$A:$B, 2, FALSE) * 0.85,"85%") </f>
        <v>21.25</v>
      </c>
      <c r="G37" s="267"/>
      <c r="H37" s="255"/>
      <c r="I37" s="273"/>
      <c r="J37" s="257"/>
      <c r="K37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L37" s="272">
        <f>IFERROR(VLOOKUP($O$29, Ejercicios!$A:$B, 2, FALSE) * 0.85,"85%") </f>
        <v>21.25</v>
      </c>
      <c r="M37" s="249"/>
      <c r="N37" s="250"/>
      <c r="O37" s="273"/>
      <c r="P37" s="257"/>
      <c r="Q37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R37" s="272">
        <f>IFERROR(VLOOKUP($U$29, Ejercicios!$A:$B, 2, FALSE) * 0.85,"85%") </f>
        <v>21.25</v>
      </c>
      <c r="S37" s="267"/>
      <c r="T37" s="250"/>
      <c r="U37" s="273"/>
      <c r="V37" s="257"/>
      <c r="W37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X37" s="272" t="str">
        <f>IFERROR(VLOOKUP($AA$29, Ejercicios!$A:$B, 2, FALSE) * 0.85,"85%") </f>
        <v>85%</v>
      </c>
      <c r="Y37" s="249"/>
      <c r="Z37" s="250"/>
      <c r="AA37" s="251"/>
      <c r="AB37" s="257"/>
      <c r="AC37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AD37" s="272" t="str">
        <f>IFERROR(VLOOKUP($AG$29, Ejercicios!$A:$B, 2, FALSE) * 0.85,"85%") </f>
        <v>85%</v>
      </c>
      <c r="AE37" s="267"/>
      <c r="AF37" s="255"/>
      <c r="AG37" s="256"/>
      <c r="AH37" s="257"/>
      <c r="AI37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</row>
    <row r="38">
      <c r="A38" s="3"/>
      <c r="B38" s="3"/>
      <c r="C38" s="3"/>
      <c r="D38" s="3"/>
      <c r="E38" s="3"/>
      <c r="F38" s="274">
        <f>IFERROR(VLOOKUP($I$29, Ejercicios!$A:$B, 2, FALSE) * 0.9,"90%") </f>
        <v>22.5</v>
      </c>
      <c r="G38" s="267"/>
      <c r="H38" s="255"/>
      <c r="I38" s="273"/>
      <c r="J38" s="257"/>
      <c r="K3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L38" s="274">
        <f>IFERROR(VLOOKUP($O$29, Ejercicios!$A:$B, 2, FALSE) * 0.9,"90%") </f>
        <v>22.5</v>
      </c>
      <c r="M38" s="249"/>
      <c r="N38" s="250"/>
      <c r="O38" s="273"/>
      <c r="P38" s="257"/>
      <c r="Q3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R38" s="274">
        <f>IFERROR(VLOOKUP($U$29, Ejercicios!$A:$B, 2, FALSE) * 0.9,"90%") </f>
        <v>22.5</v>
      </c>
      <c r="S38" s="267"/>
      <c r="T38" s="255"/>
      <c r="U38" s="273"/>
      <c r="V38" s="257"/>
      <c r="W3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X38" s="274" t="str">
        <f>IFERROR(VLOOKUP($AA$29, Ejercicios!$A:$B, 2, FALSE) * 0.9,"90%") </f>
        <v>90%</v>
      </c>
      <c r="Y38" s="249"/>
      <c r="Z38" s="250"/>
      <c r="AA38" s="273"/>
      <c r="AB38" s="252"/>
      <c r="AC3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AD38" s="274" t="str">
        <f>IFERROR(VLOOKUP($AG$29, Ejercicios!$A:$B, 2, FALSE) * 0.9,"90%") </f>
        <v>90%</v>
      </c>
      <c r="AE38" s="267"/>
      <c r="AF38" s="255"/>
      <c r="AG38" s="256"/>
      <c r="AH38" s="257"/>
      <c r="AI3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</row>
    <row r="39">
      <c r="A39" s="3"/>
      <c r="B39" s="3"/>
      <c r="C39" s="3"/>
      <c r="D39" s="3"/>
      <c r="E39" s="3"/>
      <c r="F39" s="274">
        <f>IFERROR(VLOOKUP($I$29, Ejercicios!$A:$B, 2, FALSE) * 0.95,"95%") </f>
        <v>23.75</v>
      </c>
      <c r="G39" s="267"/>
      <c r="H39" s="255"/>
      <c r="I39" s="273"/>
      <c r="J39" s="257"/>
      <c r="K3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L39" s="274">
        <f>IFERROR(VLOOKUP($O$29, Ejercicios!$A:$B, 2, FALSE) * 0.95,"95%") </f>
        <v>23.75</v>
      </c>
      <c r="M39" s="267"/>
      <c r="N39" s="255"/>
      <c r="O39" s="273"/>
      <c r="P39" s="257"/>
      <c r="Q3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R39" s="274">
        <f>IFERROR(VLOOKUP($U$29, Ejercicios!$A:$B, 2, FALSE) * 0.95,"95%") </f>
        <v>23.75</v>
      </c>
      <c r="S39" s="267"/>
      <c r="T39" s="255"/>
      <c r="U39" s="273"/>
      <c r="V39" s="257"/>
      <c r="W3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X39" s="274" t="str">
        <f>IFERROR(VLOOKUP($AA$29, Ejercicios!$A:$B, 2, FALSE) * 0.95,"95%") </f>
        <v>95%</v>
      </c>
      <c r="Y39" s="267"/>
      <c r="Z39" s="255"/>
      <c r="AA39" s="273"/>
      <c r="AB39" s="257"/>
      <c r="AC3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AD39" s="274" t="str">
        <f>IFERROR(VLOOKUP($AG$29, Ejercicios!$A:$B, 2, FALSE) * 0.95,"95%") </f>
        <v>95%</v>
      </c>
      <c r="AE39" s="267"/>
      <c r="AF39" s="255"/>
      <c r="AG39" s="256"/>
      <c r="AH39" s="257"/>
      <c r="AI3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</row>
    <row r="40">
      <c r="A40" s="3"/>
      <c r="B40" s="3"/>
      <c r="C40" s="3"/>
      <c r="D40" s="3"/>
      <c r="E40" s="3"/>
      <c r="F40" s="278">
        <f>IFERROR(VLOOKUP($I$29, Ejercicios!$A:$B, 2, FALSE) * 1,"100%") </f>
        <v>25</v>
      </c>
      <c r="G40" s="284"/>
      <c r="H40" s="285"/>
      <c r="I40" s="281"/>
      <c r="J40" s="282"/>
      <c r="K40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L40" s="278">
        <f>IFERROR(VLOOKUP($O$29, Ejercicios!$A:$B, 2, FALSE) * 1,"100%") </f>
        <v>25</v>
      </c>
      <c r="M40" s="279" t="s">
        <v>166</v>
      </c>
      <c r="N40" s="280" t="s">
        <v>166</v>
      </c>
      <c r="O40" s="304" t="s">
        <v>166</v>
      </c>
      <c r="P40" s="302" t="s">
        <v>166</v>
      </c>
      <c r="Q40" s="303" t="s">
        <v>166</v>
      </c>
      <c r="R40" s="278">
        <f>IFERROR(VLOOKUP($U$29, Ejercicios!$A:$B, 2, FALSE) * 1,"100%") </f>
        <v>25</v>
      </c>
      <c r="S40" s="279"/>
      <c r="T40" s="280"/>
      <c r="U40" s="304"/>
      <c r="V40" s="302" t="s">
        <v>167</v>
      </c>
      <c r="W40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X40" s="278" t="str">
        <f>IFERROR(VLOOKUP($AA$29, Ejercicios!$A:$B, 2, FALSE) * 1,"100%") </f>
        <v>100%</v>
      </c>
      <c r="Y40" s="284"/>
      <c r="Z40" s="285"/>
      <c r="AA40" s="281"/>
      <c r="AB40" s="302"/>
      <c r="AC40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AD40" s="278" t="str">
        <f>IFERROR(VLOOKUP($AG$29, Ejercicios!$A:$B, 2, FALSE) * 1,"100%") </f>
        <v>100%</v>
      </c>
      <c r="AE40" s="284"/>
      <c r="AF40" s="285"/>
      <c r="AG40" s="286"/>
      <c r="AH40" s="282"/>
      <c r="AI40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</row>
    <row r="41">
      <c r="A41" s="3"/>
      <c r="B41" s="3"/>
      <c r="C41" s="3"/>
      <c r="D41" s="3"/>
      <c r="E41" s="3"/>
      <c r="F41" s="124"/>
      <c r="G41" s="117"/>
      <c r="H41" s="305"/>
      <c r="I41" s="123" t="s">
        <v>80</v>
      </c>
      <c r="J41" s="117"/>
      <c r="K41" s="126"/>
      <c r="L41" s="124"/>
      <c r="M41" s="117"/>
      <c r="N41" s="305"/>
      <c r="O41" s="123" t="s">
        <v>89</v>
      </c>
      <c r="P41" s="117"/>
      <c r="Q41" s="126"/>
      <c r="R41" s="124"/>
      <c r="S41" s="117"/>
      <c r="T41" s="305"/>
      <c r="U41" s="123" t="s">
        <v>80</v>
      </c>
      <c r="V41" s="117"/>
      <c r="W41" s="126"/>
      <c r="X41" s="124"/>
      <c r="Y41" s="117"/>
      <c r="Z41" s="305"/>
      <c r="AA41" s="123"/>
      <c r="AB41" s="117"/>
      <c r="AC41" s="126"/>
      <c r="AD41" s="124"/>
      <c r="AE41" s="117"/>
      <c r="AF41" s="117"/>
      <c r="AG41" s="118"/>
      <c r="AH41" s="117"/>
      <c r="AI41" s="126"/>
    </row>
    <row r="42">
      <c r="A42" s="3"/>
      <c r="B42" s="3"/>
      <c r="C42" s="3"/>
      <c r="D42" s="3"/>
      <c r="E42" s="3"/>
      <c r="F42" s="140" t="str">
        <f>IF(ISBLANK(Configracion!$I$20), "","KG")</f>
        <v>KG</v>
      </c>
      <c r="G42" s="140" t="s">
        <v>127</v>
      </c>
      <c r="H42" s="141" t="s">
        <v>127</v>
      </c>
      <c r="I42" s="140" t="s">
        <v>127</v>
      </c>
      <c r="J42" s="141" t="s">
        <v>127</v>
      </c>
      <c r="K42" s="140" t="s">
        <v>127</v>
      </c>
      <c r="L42" s="140" t="s">
        <v>126</v>
      </c>
      <c r="M42" s="141" t="s">
        <v>129</v>
      </c>
      <c r="N42" s="141" t="s">
        <v>129</v>
      </c>
      <c r="O42" s="141" t="s">
        <v>129</v>
      </c>
      <c r="P42" s="141" t="s">
        <v>129</v>
      </c>
      <c r="Q42" s="141" t="s">
        <v>129</v>
      </c>
      <c r="R42" s="306" t="s">
        <v>126</v>
      </c>
      <c r="S42" s="141" t="s">
        <v>130</v>
      </c>
      <c r="T42" s="141" t="s">
        <v>130</v>
      </c>
      <c r="U42" s="141" t="s">
        <v>130</v>
      </c>
      <c r="V42" s="141" t="s">
        <v>130</v>
      </c>
      <c r="W42" s="141" t="s">
        <v>130</v>
      </c>
      <c r="X42" s="140" t="s">
        <v>126</v>
      </c>
      <c r="Y42" s="141" t="s">
        <v>132</v>
      </c>
      <c r="Z42" s="141" t="s">
        <v>132</v>
      </c>
      <c r="AA42" s="141" t="s">
        <v>132</v>
      </c>
      <c r="AB42" s="141" t="s">
        <v>132</v>
      </c>
      <c r="AC42" s="141" t="s">
        <v>132</v>
      </c>
      <c r="AD42" s="140" t="s">
        <v>126</v>
      </c>
      <c r="AE42" s="141" t="s">
        <v>133</v>
      </c>
      <c r="AF42" s="141" t="s">
        <v>133</v>
      </c>
      <c r="AG42" s="141" t="s">
        <v>133</v>
      </c>
      <c r="AH42" s="141" t="s">
        <v>133</v>
      </c>
      <c r="AI42" s="141" t="s">
        <v>133</v>
      </c>
    </row>
    <row r="43">
      <c r="A43" s="3"/>
      <c r="B43" s="3"/>
      <c r="C43" s="3"/>
      <c r="D43" s="3"/>
      <c r="E43" s="3"/>
      <c r="F43" s="208">
        <f>IFERROR(VLOOKUP($I$41, Ejercicios!$A:$B, 2, FALSE) * 0.55,"55%") </f>
        <v>27.5</v>
      </c>
      <c r="G43" s="210" t="s">
        <v>162</v>
      </c>
      <c r="H43" s="211"/>
      <c r="I43" s="212" t="s">
        <v>162</v>
      </c>
      <c r="J43" s="220"/>
      <c r="K43" s="214" t="s">
        <v>162</v>
      </c>
      <c r="L43" s="208">
        <f>IFERROR(VLOOKUP($O$41, Ejercicios!$A:$B, 2, FALSE) * 0.55,"55%") </f>
        <v>22</v>
      </c>
      <c r="M43" s="210"/>
      <c r="N43" s="218"/>
      <c r="O43" s="212" t="s">
        <v>168</v>
      </c>
      <c r="P43" s="220"/>
      <c r="Q43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R43" s="208">
        <f>IFERROR(VLOOKUP($U$41, Ejercicios!$A:$B, 2, FALSE) * 0.55,"55%") </f>
        <v>27.5</v>
      </c>
      <c r="S43" s="210"/>
      <c r="T43" s="218"/>
      <c r="U43" s="292"/>
      <c r="V43" s="220"/>
      <c r="W43" s="214" t="s">
        <v>163</v>
      </c>
      <c r="X43" s="208" t="str">
        <f>IFERROR(VLOOKUP($AA$41, Ejercicios!$A:$B, 2, FALSE) * 0.55,"55%") </f>
        <v>55%</v>
      </c>
      <c r="Y43" s="210"/>
      <c r="Z43" s="218"/>
      <c r="AA43" s="292"/>
      <c r="AB43" s="220"/>
      <c r="AC43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AD43" s="208" t="str">
        <f>IFERROR(VLOOKUP($AG$41, Ejercicios!$A:$B, 2, FALSE) * 0.55,"55%") </f>
        <v>55%</v>
      </c>
      <c r="AE43" s="210"/>
      <c r="AF43" s="218"/>
      <c r="AG43" s="219"/>
      <c r="AH43" s="220"/>
      <c r="AI43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</row>
    <row r="44">
      <c r="A44" s="3"/>
      <c r="B44" s="3"/>
      <c r="C44" s="3"/>
      <c r="D44" s="3"/>
      <c r="E44" s="3"/>
      <c r="F44" s="208">
        <f>IFERROR(VLOOKUP($I$41, Ejercicios!$A:$B, 2, FALSE) * 0.6,"60%") </f>
        <v>30</v>
      </c>
      <c r="G44" s="249"/>
      <c r="H44" s="250"/>
      <c r="I44" s="251"/>
      <c r="J44" s="257"/>
      <c r="K44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L44" s="208">
        <f>IFERROR(VLOOKUP($O$41, Ejercicios!$A:$B, 2, FALSE) * 0.6,"60%") </f>
        <v>24</v>
      </c>
      <c r="M44" s="249"/>
      <c r="N44" s="255"/>
      <c r="O44" s="273"/>
      <c r="P44" s="257"/>
      <c r="Q44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R44" s="208">
        <f>IFERROR(VLOOKUP($U$41, Ejercicios!$A:$B, 2, FALSE) * 0.6,"60%") </f>
        <v>30</v>
      </c>
      <c r="S44" s="249"/>
      <c r="T44" s="250"/>
      <c r="U44" s="251"/>
      <c r="V44" s="257"/>
      <c r="W44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X44" s="208" t="str">
        <f>IFERROR(VLOOKUP($AA$41, Ejercicios!$A:$B, 2, FALSE) * 0.6,"60%") </f>
        <v>60%</v>
      </c>
      <c r="Y44" s="249"/>
      <c r="Z44" s="255"/>
      <c r="AA44" s="273"/>
      <c r="AB44" s="257"/>
      <c r="AC44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AD44" s="208" t="str">
        <f>IFERROR(VLOOKUP($AG$41, Ejercicios!$A:$B, 2, FALSE) * 0.6,"60%") </f>
        <v>60%</v>
      </c>
      <c r="AE44" s="249"/>
      <c r="AF44" s="255"/>
      <c r="AG44" s="256"/>
      <c r="AH44" s="257"/>
      <c r="AI44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</row>
    <row r="45">
      <c r="A45" s="3"/>
      <c r="B45" s="3"/>
      <c r="C45" s="3"/>
      <c r="D45" s="3"/>
      <c r="E45" s="3"/>
      <c r="F45" s="208">
        <f>IFERROR(VLOOKUP($I$41, Ejercicios!$A:$B, 2, FALSE) * 0.65,"65%") </f>
        <v>32.5</v>
      </c>
      <c r="G45" s="249"/>
      <c r="H45" s="255"/>
      <c r="I45" s="273"/>
      <c r="J45" s="252"/>
      <c r="K45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L45" s="208">
        <f>IFERROR(VLOOKUP($O$41, Ejercicios!$A:$B, 2, FALSE) * 0.65,"65%") </f>
        <v>26</v>
      </c>
      <c r="M45" s="249"/>
      <c r="N45" s="255"/>
      <c r="O45" s="273"/>
      <c r="P45" s="257"/>
      <c r="Q45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R45" s="208">
        <f>IFERROR(VLOOKUP($U$41, Ejercicios!$A:$B, 2, FALSE) * 0.65,"65%") </f>
        <v>32.5</v>
      </c>
      <c r="S45" s="249"/>
      <c r="T45" s="255"/>
      <c r="U45" s="251"/>
      <c r="V45" s="257"/>
      <c r="W45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X45" s="208" t="str">
        <f>IFERROR(VLOOKUP($AA$41, Ejercicios!$A:$B, 2, FALSE) * 0.65,"65%") </f>
        <v>65%</v>
      </c>
      <c r="Y45" s="249"/>
      <c r="Z45" s="255"/>
      <c r="AA45" s="273"/>
      <c r="AB45" s="257"/>
      <c r="AC45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AD45" s="208" t="str">
        <f>IFERROR(VLOOKUP($AG$41, Ejercicios!$A:$B, 2, FALSE) * 0.65,"65%") </f>
        <v>65%</v>
      </c>
      <c r="AE45" s="249"/>
      <c r="AF45" s="255"/>
      <c r="AG45" s="256"/>
      <c r="AH45" s="257"/>
      <c r="AI45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</row>
    <row r="46">
      <c r="A46" s="3"/>
      <c r="B46" s="3"/>
      <c r="C46" s="3"/>
      <c r="D46" s="3"/>
      <c r="E46" s="3"/>
      <c r="F46" s="264">
        <f>IFERROR(VLOOKUP($I$41, Ejercicios!$A:$B, 2, FALSE) * 0.7,"70%") </f>
        <v>35</v>
      </c>
      <c r="G46" s="249"/>
      <c r="H46" s="250" t="s">
        <v>164</v>
      </c>
      <c r="I46" s="273"/>
      <c r="J46" s="257"/>
      <c r="K46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L46" s="264">
        <f>IFERROR(VLOOKUP($O$41, Ejercicios!$A:$B, 2, FALSE) * 0.7,"70%") </f>
        <v>28</v>
      </c>
      <c r="M46" s="267"/>
      <c r="N46" s="255"/>
      <c r="O46" s="273"/>
      <c r="P46" s="257"/>
      <c r="Q46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R46" s="264">
        <f>IFERROR(VLOOKUP($U$41, Ejercicios!$A:$B, 2, FALSE) * 0.7,"70%") </f>
        <v>35</v>
      </c>
      <c r="S46" s="249" t="s">
        <v>163</v>
      </c>
      <c r="T46" s="255"/>
      <c r="U46" s="251" t="s">
        <v>163</v>
      </c>
      <c r="V46" s="257"/>
      <c r="W46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X46" s="264" t="str">
        <f>IFERROR(VLOOKUP($AA$41, Ejercicios!$A:$B, 2, FALSE) * 0.7,"70%") </f>
        <v>70%</v>
      </c>
      <c r="Y46" s="267"/>
      <c r="Z46" s="255"/>
      <c r="AA46" s="273"/>
      <c r="AB46" s="257"/>
      <c r="AC46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AD46" s="264" t="str">
        <f>IFERROR(VLOOKUP($AG$41, Ejercicios!$A:$B, 2, FALSE) * 0.7,"70%") </f>
        <v>70%</v>
      </c>
      <c r="AE46" s="267"/>
      <c r="AF46" s="255"/>
      <c r="AG46" s="256"/>
      <c r="AH46" s="257"/>
      <c r="AI46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</row>
    <row r="47">
      <c r="A47" s="3"/>
      <c r="B47" s="3"/>
      <c r="C47" s="3"/>
      <c r="D47" s="3"/>
      <c r="E47" s="3"/>
      <c r="F47" s="264">
        <f>IFERROR(VLOOKUP($I$41, Ejercicios!$A:$B, 2, FALSE) * 0.75,"75%") </f>
        <v>37.5</v>
      </c>
      <c r="G47" s="267"/>
      <c r="H47" s="255"/>
      <c r="I47" s="273"/>
      <c r="J47" s="257"/>
      <c r="K4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L47" s="264">
        <f>IFERROR(VLOOKUP($O$41, Ejercicios!$A:$B, 2, FALSE) * 0.75,"75%") </f>
        <v>30</v>
      </c>
      <c r="M47" s="267"/>
      <c r="N47" s="255"/>
      <c r="O47" s="273"/>
      <c r="P47" s="257"/>
      <c r="Q4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R47" s="264">
        <f>IFERROR(VLOOKUP($U$41, Ejercicios!$A:$B, 2, FALSE) * 0.75,"75%") </f>
        <v>37.5</v>
      </c>
      <c r="S47" s="249"/>
      <c r="T47" s="255"/>
      <c r="U47" s="273"/>
      <c r="V47" s="257"/>
      <c r="W4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X47" s="264" t="str">
        <f>IFERROR(VLOOKUP($AA$41, Ejercicios!$A:$B, 2, FALSE) * 0.75,"75%") </f>
        <v>75%</v>
      </c>
      <c r="Y47" s="267"/>
      <c r="Z47" s="255"/>
      <c r="AA47" s="273"/>
      <c r="AB47" s="257"/>
      <c r="AC4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AD47" s="264" t="str">
        <f>IFERROR(VLOOKUP($AG$41, Ejercicios!$A:$B, 2, FALSE) * 0.75,"75%") </f>
        <v>75%</v>
      </c>
      <c r="AE47" s="267"/>
      <c r="AF47" s="255"/>
      <c r="AG47" s="256"/>
      <c r="AH47" s="257"/>
      <c r="AI47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</row>
    <row r="48">
      <c r="A48" s="3"/>
      <c r="B48" s="3"/>
      <c r="C48" s="3"/>
      <c r="D48" s="3"/>
      <c r="E48" s="3"/>
      <c r="F48" s="272">
        <f>IFERROR(VLOOKUP($I$41, Ejercicios!$A:$B, 2, FALSE) * 0.8,"80%") </f>
        <v>40</v>
      </c>
      <c r="G48" s="267"/>
      <c r="H48" s="255"/>
      <c r="I48" s="251"/>
      <c r="J48" s="252" t="s">
        <v>163</v>
      </c>
      <c r="K4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L48" s="272">
        <f>IFERROR(VLOOKUP($O$41, Ejercicios!$A:$B, 2, FALSE) * 0.8,"80%") </f>
        <v>32</v>
      </c>
      <c r="M48" s="267"/>
      <c r="N48" s="255"/>
      <c r="O48" s="273"/>
      <c r="P48" s="257"/>
      <c r="Q4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R48" s="272">
        <f>IFERROR(VLOOKUP($U$41, Ejercicios!$A:$B, 2, FALSE) * 0.8,"80%") </f>
        <v>40</v>
      </c>
      <c r="S48" s="267"/>
      <c r="T48" s="250" t="s">
        <v>165</v>
      </c>
      <c r="U48" s="273"/>
      <c r="V48" s="257"/>
      <c r="W4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X48" s="272" t="str">
        <f>IFERROR(VLOOKUP($AA$41, Ejercicios!$A:$B, 2, FALSE) * 0.8,"80%") </f>
        <v>80%</v>
      </c>
      <c r="Y48" s="267"/>
      <c r="Z48" s="255"/>
      <c r="AA48" s="273"/>
      <c r="AB48" s="257"/>
      <c r="AC4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AD48" s="272" t="str">
        <f>IFERROR(VLOOKUP($AG$41, Ejercicios!$A:$B, 2, FALSE) * 0.8,"80%") </f>
        <v>80%</v>
      </c>
      <c r="AE48" s="267"/>
      <c r="AF48" s="255"/>
      <c r="AG48" s="256"/>
      <c r="AH48" s="257"/>
      <c r="AI48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</row>
    <row r="49">
      <c r="A49" s="3"/>
      <c r="B49" s="3"/>
      <c r="C49" s="3"/>
      <c r="D49" s="3"/>
      <c r="E49" s="3"/>
      <c r="F49" s="272">
        <f>IFERROR(VLOOKUP($I$41, Ejercicios!$A:$B, 2, FALSE) * 0.85,"85%") </f>
        <v>42.5</v>
      </c>
      <c r="G49" s="267"/>
      <c r="H49" s="255"/>
      <c r="I49" s="273"/>
      <c r="J49" s="257"/>
      <c r="K49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L49" s="272">
        <f>IFERROR(VLOOKUP($O$41, Ejercicios!$A:$B, 2, FALSE) * 0.85,"85%") </f>
        <v>34</v>
      </c>
      <c r="M49" s="267"/>
      <c r="N49" s="255"/>
      <c r="O49" s="273"/>
      <c r="P49" s="257"/>
      <c r="Q49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R49" s="272">
        <f>IFERROR(VLOOKUP($U$41, Ejercicios!$A:$B, 2, FALSE) * 0.85,"85%") </f>
        <v>42.5</v>
      </c>
      <c r="S49" s="249"/>
      <c r="T49" s="255"/>
      <c r="U49" s="273"/>
      <c r="V49" s="257"/>
      <c r="W49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X49" s="272" t="str">
        <f>IFERROR(VLOOKUP($AA$41, Ejercicios!$A:$B, 2, FALSE) * 0.85,"85%") </f>
        <v>85%</v>
      </c>
      <c r="Y49" s="267"/>
      <c r="Z49" s="255"/>
      <c r="AA49" s="273"/>
      <c r="AB49" s="257"/>
      <c r="AC49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AD49" s="272" t="str">
        <f>IFERROR(VLOOKUP($AG$41, Ejercicios!$A:$B, 2, FALSE) * 0.85,"85%") </f>
        <v>85%</v>
      </c>
      <c r="AE49" s="267"/>
      <c r="AF49" s="255"/>
      <c r="AG49" s="256"/>
      <c r="AH49" s="257"/>
      <c r="AI49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</row>
    <row r="50">
      <c r="A50" s="3"/>
      <c r="B50" s="3"/>
      <c r="C50" s="3"/>
      <c r="D50" s="3"/>
      <c r="E50" s="3"/>
      <c r="F50" s="274">
        <f>IFERROR(VLOOKUP($I$41, Ejercicios!$A:$B, 2, FALSE) * 0.9,"90%") </f>
        <v>45</v>
      </c>
      <c r="G50" s="267"/>
      <c r="H50" s="255"/>
      <c r="I50" s="251"/>
      <c r="J50" s="257"/>
      <c r="K5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L50" s="274">
        <f>IFERROR(VLOOKUP($O$41, Ejercicios!$A:$B, 2, FALSE) * 0.9,"90%") </f>
        <v>36</v>
      </c>
      <c r="M50" s="267"/>
      <c r="N50" s="255"/>
      <c r="O50" s="273"/>
      <c r="P50" s="257"/>
      <c r="Q5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R50" s="274">
        <f>IFERROR(VLOOKUP($U$41, Ejercicios!$A:$B, 2, FALSE) * 0.9,"90%") </f>
        <v>45</v>
      </c>
      <c r="S50" s="267"/>
      <c r="T50" s="255"/>
      <c r="U50" s="251"/>
      <c r="V50" s="252"/>
      <c r="W5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X50" s="274" t="str">
        <f>IFERROR(VLOOKUP($AA$41, Ejercicios!$A:$B, 2, FALSE) * 0.9,"90%") </f>
        <v>90%</v>
      </c>
      <c r="Y50" s="267"/>
      <c r="Z50" s="255"/>
      <c r="AA50" s="273"/>
      <c r="AB50" s="257"/>
      <c r="AC5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AD50" s="274" t="str">
        <f>IFERROR(VLOOKUP($AG$41, Ejercicios!$A:$B, 2, FALSE) * 0.9,"90%") </f>
        <v>90%</v>
      </c>
      <c r="AE50" s="267"/>
      <c r="AF50" s="255"/>
      <c r="AG50" s="256"/>
      <c r="AH50" s="257"/>
      <c r="AI5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</row>
    <row r="51">
      <c r="A51" s="3"/>
      <c r="B51" s="3"/>
      <c r="C51" s="3"/>
      <c r="D51" s="3"/>
      <c r="E51" s="3"/>
      <c r="F51" s="274">
        <f>IFERROR(VLOOKUP($I$41, Ejercicios!$A:$B, 2, FALSE) * 0.95,"95%") </f>
        <v>47.5</v>
      </c>
      <c r="G51" s="267"/>
      <c r="H51" s="255"/>
      <c r="I51" s="273"/>
      <c r="J51" s="257"/>
      <c r="K51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L51" s="274">
        <f>IFERROR(VLOOKUP($O$41, Ejercicios!$A:$B, 2, FALSE) * 0.95,"95%") </f>
        <v>38</v>
      </c>
      <c r="M51" s="267"/>
      <c r="N51" s="255"/>
      <c r="O51" s="273"/>
      <c r="P51" s="257"/>
      <c r="Q51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R51" s="274">
        <f>IFERROR(VLOOKUP($U$41, Ejercicios!$A:$B, 2, FALSE) * 0.95,"95%") </f>
        <v>47.5</v>
      </c>
      <c r="S51" s="267"/>
      <c r="T51" s="255"/>
      <c r="U51" s="251"/>
      <c r="V51" s="252" t="s">
        <v>167</v>
      </c>
      <c r="W51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X51" s="274" t="str">
        <f>IFERROR(VLOOKUP($AA$41, Ejercicios!$A:$B, 2, FALSE) * 0.95,"95%") </f>
        <v>95%</v>
      </c>
      <c r="Y51" s="267"/>
      <c r="Z51" s="255"/>
      <c r="AA51" s="273"/>
      <c r="AB51" s="257"/>
      <c r="AC51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AD51" s="274" t="str">
        <f>IFERROR(VLOOKUP($AG$41, Ejercicios!$A:$B, 2, FALSE) * 0.95,"95%") </f>
        <v>95%</v>
      </c>
      <c r="AE51" s="267"/>
      <c r="AF51" s="255"/>
      <c r="AG51" s="256"/>
      <c r="AH51" s="257"/>
      <c r="AI51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</row>
    <row r="52">
      <c r="A52" s="3"/>
      <c r="B52" s="3"/>
      <c r="C52" s="3"/>
      <c r="D52" s="3"/>
      <c r="E52" s="3"/>
      <c r="F52" s="278">
        <f>IFERROR(VLOOKUP($I$41, Ejercicios!$A:$B, 2, FALSE) * 1,"100%") </f>
        <v>50</v>
      </c>
      <c r="G52" s="279"/>
      <c r="H52" s="285"/>
      <c r="I52" s="281"/>
      <c r="J52" s="282"/>
      <c r="K52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L52" s="278">
        <f>IFERROR(VLOOKUP($O$41, Ejercicios!$A:$B, 2, FALSE) * 1,"100%") </f>
        <v>40</v>
      </c>
      <c r="M52" s="279" t="s">
        <v>166</v>
      </c>
      <c r="N52" s="280" t="s">
        <v>166</v>
      </c>
      <c r="O52" s="304" t="s">
        <v>166</v>
      </c>
      <c r="P52" s="302" t="s">
        <v>166</v>
      </c>
      <c r="Q52" s="303" t="s">
        <v>166</v>
      </c>
      <c r="R52" s="278">
        <f>IFERROR(VLOOKUP($U$41, Ejercicios!$A:$B, 2, FALSE) * 1,"100%") </f>
        <v>50</v>
      </c>
      <c r="S52" s="284"/>
      <c r="T52" s="285"/>
      <c r="U52" s="281"/>
      <c r="V52" s="282"/>
      <c r="W52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X52" s="278" t="str">
        <f>IFERROR(VLOOKUP($AA$41, Ejercicios!$A:$B, 2, FALSE) * 1,"100%") </f>
        <v>100%</v>
      </c>
      <c r="Y52" s="279"/>
      <c r="Z52" s="280"/>
      <c r="AA52" s="304"/>
      <c r="AB52" s="302"/>
      <c r="AC52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AD52" s="278" t="str">
        <f>IFERROR(VLOOKUP($AG$41, Ejercicios!$A:$B, 2, FALSE) * 1,"100%") </f>
        <v>100%</v>
      </c>
      <c r="AE52" s="284"/>
      <c r="AF52" s="285"/>
      <c r="AG52" s="286"/>
      <c r="AH52" s="282"/>
      <c r="AI52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</row>
    <row r="53">
      <c r="A53" s="3"/>
      <c r="B53" s="3"/>
      <c r="C53" s="3"/>
      <c r="D53" s="3"/>
      <c r="E53" s="3"/>
      <c r="F53" s="124"/>
      <c r="G53" s="117"/>
      <c r="H53" s="305"/>
      <c r="I53" s="123"/>
      <c r="J53" s="117"/>
      <c r="K53" s="126"/>
      <c r="L53" s="124"/>
      <c r="M53" s="117"/>
      <c r="N53" s="305"/>
      <c r="O53" s="123"/>
      <c r="P53" s="117"/>
      <c r="Q53" s="126"/>
      <c r="R53" s="124"/>
      <c r="S53" s="117"/>
      <c r="T53" s="305"/>
      <c r="U53" s="123"/>
      <c r="V53" s="117"/>
      <c r="W53" s="126"/>
      <c r="X53" s="124"/>
      <c r="Y53" s="117"/>
      <c r="Z53" s="305"/>
      <c r="AA53" s="123"/>
      <c r="AB53" s="117"/>
      <c r="AC53" s="126"/>
      <c r="AD53" s="124"/>
      <c r="AE53" s="117"/>
      <c r="AF53" s="117"/>
      <c r="AG53" s="118"/>
      <c r="AH53" s="117"/>
      <c r="AI53" s="126"/>
    </row>
    <row r="54">
      <c r="A54" s="3"/>
      <c r="B54" s="3"/>
      <c r="C54" s="3"/>
      <c r="D54" s="3"/>
      <c r="E54" s="3"/>
      <c r="F54" s="140" t="str">
        <f>IF(ISBLANK(Configracion!$I$20), "","KG")</f>
        <v>KG</v>
      </c>
      <c r="G54" s="140" t="s">
        <v>127</v>
      </c>
      <c r="H54" s="141" t="s">
        <v>127</v>
      </c>
      <c r="I54" s="140" t="s">
        <v>127</v>
      </c>
      <c r="J54" s="141" t="s">
        <v>127</v>
      </c>
      <c r="K54" s="140" t="s">
        <v>127</v>
      </c>
      <c r="L54" s="140" t="str">
        <f>F54</f>
        <v>KG</v>
      </c>
      <c r="M54" s="141" t="s">
        <v>129</v>
      </c>
      <c r="N54" s="141" t="s">
        <v>129</v>
      </c>
      <c r="O54" s="141" t="s">
        <v>129</v>
      </c>
      <c r="P54" s="141" t="s">
        <v>129</v>
      </c>
      <c r="Q54" s="141" t="s">
        <v>129</v>
      </c>
      <c r="R54" s="306" t="s">
        <v>126</v>
      </c>
      <c r="S54" s="141" t="s">
        <v>130</v>
      </c>
      <c r="T54" s="141" t="s">
        <v>130</v>
      </c>
      <c r="U54" s="141" t="s">
        <v>130</v>
      </c>
      <c r="V54" s="141" t="s">
        <v>130</v>
      </c>
      <c r="W54" s="141" t="s">
        <v>130</v>
      </c>
      <c r="X54" s="140" t="s">
        <v>126</v>
      </c>
      <c r="Y54" s="141" t="s">
        <v>132</v>
      </c>
      <c r="Z54" s="141" t="s">
        <v>132</v>
      </c>
      <c r="AA54" s="141" t="s">
        <v>132</v>
      </c>
      <c r="AB54" s="141" t="s">
        <v>132</v>
      </c>
      <c r="AC54" s="141" t="s">
        <v>132</v>
      </c>
      <c r="AD54" s="140" t="s">
        <v>126</v>
      </c>
      <c r="AE54" s="141" t="s">
        <v>133</v>
      </c>
      <c r="AF54" s="141" t="s">
        <v>133</v>
      </c>
      <c r="AG54" s="141" t="s">
        <v>133</v>
      </c>
      <c r="AH54" s="141" t="s">
        <v>133</v>
      </c>
      <c r="AI54" s="141" t="s">
        <v>133</v>
      </c>
    </row>
    <row r="55">
      <c r="A55" s="3"/>
      <c r="B55" s="3"/>
      <c r="C55" s="3"/>
      <c r="D55" s="3"/>
      <c r="E55" s="3"/>
      <c r="F55" s="208" t="str">
        <f>IFERROR(VLOOKUP($I$53, Ejercicios!$A:$B, 2, FALSE) * 0.55,"55%") </f>
        <v>55%</v>
      </c>
      <c r="G55" s="210"/>
      <c r="H55" s="218"/>
      <c r="I55" s="292"/>
      <c r="J55" s="220"/>
      <c r="K55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L55" s="208" t="str">
        <f>IFERROR(VLOOKUP($O$53, Ejercicios!$A:$B, 2, FALSE) * 0.55,"55%") </f>
        <v>55%</v>
      </c>
      <c r="M55" s="210"/>
      <c r="N55" s="218"/>
      <c r="O55" s="212"/>
      <c r="P55" s="220"/>
      <c r="Q55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R55" s="208" t="str">
        <f>IFERROR(VLOOKUP($U$53, Ejercicios!$A:$B, 2, FALSE) * 0.55,"55%") </f>
        <v>55%</v>
      </c>
      <c r="S55" s="210"/>
      <c r="T55" s="218"/>
      <c r="U55" s="292"/>
      <c r="V55" s="220"/>
      <c r="W55" s="21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X55" s="208" t="str">
        <f>IFERROR(VLOOKUP($AA$53, Ejercicios!$A:$B, 2, FALSE) * 0.55,"55%") </f>
        <v>55%</v>
      </c>
      <c r="Y55" s="210"/>
      <c r="Z55" s="218"/>
      <c r="AA55" s="292"/>
      <c r="AB55" s="220"/>
      <c r="AC55" s="308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  <c r="AD55" s="208" t="str">
        <f>IFERROR(VLOOKUP($AG$53, Ejercicios!$A:$B, 2, FALSE) * 0.55,"55%") </f>
        <v>55%</v>
      </c>
      <c r="AE55" s="210"/>
      <c r="AF55" s="218"/>
      <c r="AG55" s="219"/>
      <c r="AH55" s="220"/>
      <c r="AI55" s="309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2, 0), ""),"")</f>
        <v/>
      </c>
    </row>
    <row r="56">
      <c r="A56" s="3"/>
      <c r="B56" s="3"/>
      <c r="C56" s="3"/>
      <c r="D56" s="3"/>
      <c r="E56" s="3"/>
      <c r="F56" s="208" t="str">
        <f>IFERROR(VLOOKUP($I$53, Ejercicios!$A:$B, 2, FALSE) * 0.6,"60%") </f>
        <v>60%</v>
      </c>
      <c r="G56" s="249"/>
      <c r="H56" s="255"/>
      <c r="I56" s="273"/>
      <c r="J56" s="257"/>
      <c r="K56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L56" s="208" t="str">
        <f>IFERROR(VLOOKUP($O$53, Ejercicios!$A:$B, 2, FALSE) * 0.6,"60%") </f>
        <v>60%</v>
      </c>
      <c r="M56" s="249"/>
      <c r="N56" s="255"/>
      <c r="O56" s="273"/>
      <c r="P56" s="257"/>
      <c r="Q56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R56" s="208" t="str">
        <f>IFERROR(VLOOKUP($U$53, Ejercicios!$A:$B, 2, FALSE) * 0.6,"60%") </f>
        <v>60%</v>
      </c>
      <c r="S56" s="249"/>
      <c r="T56" s="255"/>
      <c r="U56" s="251"/>
      <c r="V56" s="257"/>
      <c r="W56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X56" s="208" t="str">
        <f>IFERROR(VLOOKUP($AA$53, Ejercicios!$A:$B, 2, FALSE) * 0.6,"60%") </f>
        <v>60%</v>
      </c>
      <c r="Y56" s="249"/>
      <c r="Z56" s="255"/>
      <c r="AA56" s="273"/>
      <c r="AB56" s="257"/>
      <c r="AC56" s="310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  <c r="AD56" s="208" t="str">
        <f>IFERROR(VLOOKUP($AG$53, Ejercicios!$A:$B, 2, FALSE) * 0.6,"60%") </f>
        <v>60%</v>
      </c>
      <c r="AE56" s="249"/>
      <c r="AF56" s="255"/>
      <c r="AG56" s="256"/>
      <c r="AH56" s="257"/>
      <c r="AI56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3, 0), 0),"")</f>
        <v/>
      </c>
    </row>
    <row r="57">
      <c r="A57" s="3"/>
      <c r="B57" s="3"/>
      <c r="C57" s="3"/>
      <c r="D57" s="3"/>
      <c r="E57" s="3"/>
      <c r="F57" s="208" t="str">
        <f>IFERROR(VLOOKUP($I$53, Ejercicios!$A:$B, 2, FALSE) * 0.65,"65%") </f>
        <v>65%</v>
      </c>
      <c r="G57" s="249"/>
      <c r="H57" s="255"/>
      <c r="I57" s="273"/>
      <c r="J57" s="257"/>
      <c r="K57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L57" s="208" t="str">
        <f>IFERROR(VLOOKUP($O$53, Ejercicios!$A:$B, 2, FALSE) * 0.65,"65%") </f>
        <v>65%</v>
      </c>
      <c r="M57" s="249"/>
      <c r="N57" s="250"/>
      <c r="O57" s="273"/>
      <c r="P57" s="257"/>
      <c r="Q57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R57" s="208" t="str">
        <f>IFERROR(VLOOKUP($U$53, Ejercicios!$A:$B, 2, FALSE) * 0.65,"65%") </f>
        <v>65%</v>
      </c>
      <c r="S57" s="249"/>
      <c r="T57" s="255"/>
      <c r="U57" s="273"/>
      <c r="V57" s="257"/>
      <c r="W57" s="254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X57" s="208" t="str">
        <f>IFERROR(VLOOKUP($AA$53, Ejercicios!$A:$B, 2, FALSE) * 0.65,"65%") </f>
        <v>65%</v>
      </c>
      <c r="Y57" s="249"/>
      <c r="Z57" s="255"/>
      <c r="AA57" s="273"/>
      <c r="AB57" s="257"/>
      <c r="AC57" s="310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  <c r="AD57" s="208" t="str">
        <f>IFERROR(VLOOKUP($AG$53, Ejercicios!$A:$B, 2, FALSE) * 0.65,"65%") </f>
        <v>65%</v>
      </c>
      <c r="AE57" s="249"/>
      <c r="AF57" s="255"/>
      <c r="AG57" s="256"/>
      <c r="AH57" s="257"/>
      <c r="AI57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4, 0), 0),"")</f>
        <v/>
      </c>
    </row>
    <row r="58">
      <c r="A58" s="3"/>
      <c r="B58" s="3"/>
      <c r="C58" s="3"/>
      <c r="D58" s="3"/>
      <c r="E58" s="3"/>
      <c r="F58" s="264" t="str">
        <f>IFERROR(VLOOKUP($I$53, Ejercicios!$A:$B, 2, FALSE) * 0.7,"70%") </f>
        <v>70%</v>
      </c>
      <c r="G58" s="267"/>
      <c r="H58" s="255"/>
      <c r="I58" s="273"/>
      <c r="J58" s="257"/>
      <c r="K58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L58" s="264" t="str">
        <f>IFERROR(VLOOKUP($O$53, Ejercicios!$A:$B, 2, FALSE) * 0.7,"70%") </f>
        <v>70%</v>
      </c>
      <c r="M58" s="249"/>
      <c r="N58" s="250"/>
      <c r="O58" s="273"/>
      <c r="P58" s="257"/>
      <c r="Q58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R58" s="264" t="str">
        <f>IFERROR(VLOOKUP($U$53, Ejercicios!$A:$B, 2, FALSE) * 0.7,"70%") </f>
        <v>70%</v>
      </c>
      <c r="S58" s="267"/>
      <c r="T58" s="255"/>
      <c r="U58" s="273"/>
      <c r="V58" s="257"/>
      <c r="W58" s="266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X58" s="264" t="str">
        <f>IFERROR(VLOOKUP($AA$53, Ejercicios!$A:$B, 2, FALSE) * 0.7,"70%") </f>
        <v>70%</v>
      </c>
      <c r="Y58" s="267"/>
      <c r="Z58" s="255"/>
      <c r="AA58" s="273"/>
      <c r="AB58" s="257"/>
      <c r="AC58" s="311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  <c r="AD58" s="264" t="str">
        <f>IFERROR(VLOOKUP($AG$53, Ejercicios!$A:$B, 2, FALSE) * 0.7,"70%") </f>
        <v>70%</v>
      </c>
      <c r="AE58" s="267"/>
      <c r="AF58" s="255"/>
      <c r="AG58" s="256"/>
      <c r="AH58" s="257"/>
      <c r="AI58" s="311" t="str">
        <f>IFERROR(ROUND(VLOOKUP(Configuracion!$I$3 &amp; Configuracion!$I$4, Calculos!$B$19:$L$28, 5, 0)*VLOOKUP(Configuracion!$I$5, Calculos!$A$14:$F$16, 3, 0)*VLOOKUP(ROUND(VLOOKUP(Configuracion!$I$3 &amp; Configuracion!$I$4, Calculos!$B$19:$L$28, 11, 0),0)/100, Ref!$A$2:$K$22, 5, 0), 0),"")</f>
        <v/>
      </c>
    </row>
    <row r="59">
      <c r="A59" s="3"/>
      <c r="B59" s="3"/>
      <c r="C59" s="3"/>
      <c r="D59" s="3"/>
      <c r="E59" s="3"/>
      <c r="F59" s="264" t="str">
        <f>IFERROR(VLOOKUP($I$53, Ejercicios!$A:$B, 2, FALSE) * 0.75,"75%") </f>
        <v>75%</v>
      </c>
      <c r="G59" s="267"/>
      <c r="H59" s="255"/>
      <c r="I59" s="273"/>
      <c r="J59" s="257"/>
      <c r="K5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L59" s="264" t="str">
        <f>IFERROR(VLOOKUP($O$53, Ejercicios!$A:$B, 2, FALSE) * 0.75,"75%") </f>
        <v>75%</v>
      </c>
      <c r="M59" s="267"/>
      <c r="N59" s="255"/>
      <c r="O59" s="273"/>
      <c r="P59" s="252"/>
      <c r="Q5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R59" s="264" t="str">
        <f>IFERROR(VLOOKUP($U$53, Ejercicios!$A:$B, 2, FALSE) * 0.75,"75%") </f>
        <v>75%</v>
      </c>
      <c r="S59" s="267"/>
      <c r="T59" s="255"/>
      <c r="U59" s="273"/>
      <c r="V59" s="257"/>
      <c r="W59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X59" s="264" t="str">
        <f>IFERROR(VLOOKUP($AA$53, Ejercicios!$A:$B, 2, FALSE) * 0.75,"75%") </f>
        <v>75%</v>
      </c>
      <c r="Y59" s="249"/>
      <c r="Z59" s="255"/>
      <c r="AA59" s="251"/>
      <c r="AB59" s="257"/>
      <c r="AC59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  <c r="AD59" s="264" t="str">
        <f>IFERROR(VLOOKUP($AG$53, Ejercicios!$A:$B, 2, FALSE) * 0.75,"75%") </f>
        <v>75%</v>
      </c>
      <c r="AE59" s="267"/>
      <c r="AF59" s="255"/>
      <c r="AG59" s="256"/>
      <c r="AH59" s="257"/>
      <c r="AI59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6, 0), 0),"")</f>
        <v/>
      </c>
    </row>
    <row r="60">
      <c r="A60" s="3"/>
      <c r="B60" s="3"/>
      <c r="C60" s="3"/>
      <c r="D60" s="3"/>
      <c r="E60" s="3"/>
      <c r="F60" s="272" t="str">
        <f>IFERROR(VLOOKUP($I$53, Ejercicios!$A:$B, 2, FALSE) * 0.8,"80%") </f>
        <v>80%</v>
      </c>
      <c r="G60" s="267"/>
      <c r="H60" s="255"/>
      <c r="I60" s="273"/>
      <c r="J60" s="257"/>
      <c r="K6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L60" s="272" t="str">
        <f>IFERROR(VLOOKUP($O$53, Ejercicios!$A:$B, 2, FALSE) * 0.8,"80%") </f>
        <v>80%</v>
      </c>
      <c r="M60" s="267"/>
      <c r="N60" s="255"/>
      <c r="O60" s="273"/>
      <c r="P60" s="257"/>
      <c r="Q6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R60" s="272" t="str">
        <f>IFERROR(VLOOKUP($U$53, Ejercicios!$A:$B, 2, FALSE) * 0.8,"80%") </f>
        <v>80%</v>
      </c>
      <c r="S60" s="249"/>
      <c r="T60" s="255"/>
      <c r="U60" s="251"/>
      <c r="V60" s="257"/>
      <c r="W60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X60" s="272" t="str">
        <f>IFERROR(VLOOKUP($AA$53, Ejercicios!$A:$B, 2, FALSE) * 0.8,"80%") </f>
        <v>80%</v>
      </c>
      <c r="Y60" s="267"/>
      <c r="Z60" s="255"/>
      <c r="AA60" s="273"/>
      <c r="AB60" s="257"/>
      <c r="AC60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  <c r="AD60" s="272" t="str">
        <f>IFERROR(VLOOKUP($AG$53, Ejercicios!$A:$B, 2, FALSE) * 0.8,"80%") </f>
        <v>80%</v>
      </c>
      <c r="AE60" s="267"/>
      <c r="AF60" s="255"/>
      <c r="AG60" s="256"/>
      <c r="AH60" s="257"/>
      <c r="AI60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7, 0), 0),"")</f>
        <v/>
      </c>
    </row>
    <row r="61">
      <c r="A61" s="3"/>
      <c r="B61" s="3"/>
      <c r="C61" s="3"/>
      <c r="D61" s="3"/>
      <c r="E61" s="3"/>
      <c r="F61" s="272" t="str">
        <f>IFERROR(VLOOKUP($I$53, Ejercicios!$A:$B, 2, FALSE) * 0.85,"85%") </f>
        <v>85%</v>
      </c>
      <c r="G61" s="267"/>
      <c r="H61" s="255"/>
      <c r="I61" s="273"/>
      <c r="J61" s="257"/>
      <c r="K61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L61" s="272" t="str">
        <f>IFERROR(VLOOKUP($O$53, Ejercicios!$A:$B, 2, FALSE) * 0.85,"85%") </f>
        <v>85%</v>
      </c>
      <c r="M61" s="267"/>
      <c r="N61" s="255"/>
      <c r="O61" s="273"/>
      <c r="P61" s="257"/>
      <c r="Q61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R61" s="272" t="str">
        <f>IFERROR(VLOOKUP($U$53, Ejercicios!$A:$B, 2, FALSE) * 0.85,"85%") </f>
        <v>85%</v>
      </c>
      <c r="S61" s="267"/>
      <c r="T61" s="255"/>
      <c r="U61" s="273"/>
      <c r="V61" s="257"/>
      <c r="W61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X61" s="272" t="str">
        <f>IFERROR(VLOOKUP($AA$53, Ejercicios!$A:$B, 2, FALSE) * 0.85,"85%") </f>
        <v>85%</v>
      </c>
      <c r="Y61" s="267"/>
      <c r="Z61" s="250"/>
      <c r="AA61" s="273"/>
      <c r="AB61" s="257"/>
      <c r="AC61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  <c r="AD61" s="272" t="str">
        <f>IFERROR(VLOOKUP($AG$53, Ejercicios!$A:$B, 2, FALSE) * 0.85,"85%") </f>
        <v>85%</v>
      </c>
      <c r="AE61" s="267"/>
      <c r="AF61" s="255"/>
      <c r="AG61" s="256"/>
      <c r="AH61" s="257"/>
      <c r="AI61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8, 0), 0),"")</f>
        <v/>
      </c>
    </row>
    <row r="62">
      <c r="A62" s="3"/>
      <c r="B62" s="3"/>
      <c r="C62" s="3"/>
      <c r="D62" s="3"/>
      <c r="E62" s="3"/>
      <c r="F62" s="274" t="str">
        <f>IFERROR(VLOOKUP($I$53, Ejercicios!$A:$B, 2, FALSE) * 0.9,"90%") </f>
        <v>90%</v>
      </c>
      <c r="G62" s="267"/>
      <c r="H62" s="255"/>
      <c r="I62" s="273"/>
      <c r="J62" s="257"/>
      <c r="K62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L62" s="274" t="str">
        <f>IFERROR(VLOOKUP($O$53, Ejercicios!$A:$B, 2, FALSE) * 0.9,"90%") </f>
        <v>90%</v>
      </c>
      <c r="M62" s="267"/>
      <c r="N62" s="255"/>
      <c r="O62" s="273"/>
      <c r="P62" s="257"/>
      <c r="Q62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R62" s="274" t="str">
        <f>IFERROR(VLOOKUP($U$53, Ejercicios!$A:$B, 2, FALSE) * 0.9,"90%") </f>
        <v>90%</v>
      </c>
      <c r="S62" s="249"/>
      <c r="T62" s="255"/>
      <c r="U62" s="273"/>
      <c r="V62" s="257"/>
      <c r="W62" s="265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X62" s="274" t="str">
        <f>IFERROR(VLOOKUP($AA$53, Ejercicios!$A:$B, 2, FALSE) * 0.9,"90%") </f>
        <v>90%</v>
      </c>
      <c r="Y62" s="267"/>
      <c r="Z62" s="255"/>
      <c r="AA62" s="273"/>
      <c r="AB62" s="257"/>
      <c r="AC62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  <c r="AD62" s="274" t="str">
        <f>IFERROR(VLOOKUP($AG$53, Ejercicios!$A:$B, 2, FALSE) * 0.9,"90%") </f>
        <v>90%</v>
      </c>
      <c r="AE62" s="267"/>
      <c r="AF62" s="255"/>
      <c r="AG62" s="256"/>
      <c r="AH62" s="257"/>
      <c r="AI62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9, 0), 0),"")</f>
        <v/>
      </c>
    </row>
    <row r="63">
      <c r="A63" s="3"/>
      <c r="B63" s="3"/>
      <c r="C63" s="3"/>
      <c r="D63" s="3"/>
      <c r="E63" s="3"/>
      <c r="F63" s="274" t="str">
        <f>IFERROR(VLOOKUP($I$53, Ejercicios!$A:$B, 2, FALSE) * 0.95,"95%") </f>
        <v>95%</v>
      </c>
      <c r="G63" s="267"/>
      <c r="H63" s="255"/>
      <c r="I63" s="273"/>
      <c r="J63" s="257"/>
      <c r="K63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L63" s="274" t="str">
        <f>IFERROR(VLOOKUP($O$53, Ejercicios!$A:$B, 2, FALSE) * 0.95,"95%") </f>
        <v>95%</v>
      </c>
      <c r="M63" s="267"/>
      <c r="N63" s="255"/>
      <c r="O63" s="273"/>
      <c r="P63" s="257"/>
      <c r="Q63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R63" s="274" t="str">
        <f>IFERROR(VLOOKUP($U$53, Ejercicios!$A:$B, 2, FALSE) * 0.95,"95%") </f>
        <v>95%</v>
      </c>
      <c r="S63" s="267"/>
      <c r="T63" s="255"/>
      <c r="U63" s="273"/>
      <c r="V63" s="257"/>
      <c r="W63" s="266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X63" s="274" t="str">
        <f>IFERROR(VLOOKUP($AA$53, Ejercicios!$A:$B, 2, FALSE) * 0.95,"95%") </f>
        <v>95%</v>
      </c>
      <c r="Y63" s="267"/>
      <c r="Z63" s="255"/>
      <c r="AA63" s="273"/>
      <c r="AB63" s="257"/>
      <c r="AC63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  <c r="AD63" s="274" t="str">
        <f>IFERROR(VLOOKUP($AG$53, Ejercicios!$A:$B, 2, FALSE) * 0.95,"95%") </f>
        <v>95%</v>
      </c>
      <c r="AE63" s="267"/>
      <c r="AF63" s="255"/>
      <c r="AG63" s="256"/>
      <c r="AH63" s="257"/>
      <c r="AI63" s="311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10, 0), 0),"")</f>
        <v/>
      </c>
    </row>
    <row r="64">
      <c r="A64" s="3"/>
      <c r="B64" s="3"/>
      <c r="C64" s="3"/>
      <c r="D64" s="3"/>
      <c r="E64" s="3"/>
      <c r="F64" s="278" t="str">
        <f>IFERROR(VLOOKUP($I$53, Ejercicios!$A:$B, 2, FALSE) * 1,"100%") </f>
        <v>100%</v>
      </c>
      <c r="G64" s="284"/>
      <c r="H64" s="285"/>
      <c r="I64" s="281"/>
      <c r="J64" s="282"/>
      <c r="K64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L64" s="278" t="str">
        <f>IFERROR(VLOOKUP($O$53, Ejercicios!$A:$B, 2, FALSE) * 1,"100%") </f>
        <v>100%</v>
      </c>
      <c r="M64" s="284"/>
      <c r="N64" s="285"/>
      <c r="O64" s="281"/>
      <c r="P64" s="282"/>
      <c r="Q64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R64" s="278" t="str">
        <f>IFERROR(VLOOKUP($U$53, Ejercicios!$A:$B, 2, FALSE) * 1,"100%") </f>
        <v>100%</v>
      </c>
      <c r="S64" s="284"/>
      <c r="T64" s="285"/>
      <c r="U64" s="304"/>
      <c r="V64" s="282"/>
      <c r="W64" s="283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X64" s="278" t="str">
        <f>IFERROR(VLOOKUP($AA$53, Ejercicios!$A:$B, 2, FALSE) * 1,"100%") </f>
        <v>100%</v>
      </c>
      <c r="Y64" s="284"/>
      <c r="Z64" s="285"/>
      <c r="AA64" s="281"/>
      <c r="AB64" s="302"/>
      <c r="AC64" s="312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  <c r="AD64" s="278" t="str">
        <f>IFERROR(VLOOKUP($AG$53, Ejercicios!$A:$B, 2, FALSE) * 1,"100%") </f>
        <v>100%</v>
      </c>
      <c r="AE64" s="284"/>
      <c r="AF64" s="285"/>
      <c r="AG64" s="286"/>
      <c r="AH64" s="282"/>
      <c r="AI64" s="312" t="str">
        <f>IFERROR(ROUND(VLOOKUP(Configuracion!$I$3 &amp; Configuracion!$I$4, Calculos!$B$19:$L$28, 6, 0)*VLOOKUP(Configuracion!$I$5, Calculos!$A$14:$F$16, 3, 0)*VLOOKUP(ROUND(VLOOKUP(Configuracion!$I$3 &amp; Configuracion!$I$4, Calculos!$B$19:$L$28, 11, 0),0)/100, Ref!$A$2:$K$22, 11, 0), 0),"")</f>
        <v/>
      </c>
    </row>
    <row r="65">
      <c r="A65" s="3"/>
      <c r="B65" s="3"/>
      <c r="C65" s="3"/>
      <c r="D65" s="3"/>
      <c r="E65" s="3"/>
      <c r="F65" s="3"/>
      <c r="G65" s="313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5"/>
    </row>
    <row r="66">
      <c r="A66" s="3"/>
      <c r="B66" s="3"/>
      <c r="C66" s="3"/>
      <c r="D66" s="3"/>
      <c r="E66" s="3"/>
      <c r="F66" s="113"/>
      <c r="G66" s="115"/>
      <c r="H66" s="115"/>
      <c r="I66" s="316" t="s">
        <v>1</v>
      </c>
      <c r="J66" s="115"/>
      <c r="K66" s="317"/>
      <c r="L66" s="113"/>
      <c r="M66" s="115"/>
      <c r="N66" s="115"/>
      <c r="O66" s="316" t="s">
        <v>13</v>
      </c>
      <c r="P66" s="115"/>
      <c r="Q66" s="317"/>
      <c r="R66" s="113"/>
      <c r="S66" s="115"/>
      <c r="T66" s="115"/>
      <c r="U66" s="316" t="s">
        <v>23</v>
      </c>
      <c r="V66" s="115"/>
      <c r="W66" s="317"/>
      <c r="X66" s="113"/>
      <c r="Y66" s="115"/>
      <c r="Z66" s="115"/>
      <c r="AA66" s="316"/>
      <c r="AB66" s="115"/>
      <c r="AC66" s="317"/>
      <c r="AD66" s="113"/>
      <c r="AE66" s="115"/>
      <c r="AF66" s="115"/>
      <c r="AG66" s="115"/>
      <c r="AH66" s="115"/>
      <c r="AI66" s="317"/>
    </row>
    <row r="67" ht="37.5" customHeight="1">
      <c r="A67" s="3"/>
      <c r="B67" s="3"/>
      <c r="C67" s="3"/>
      <c r="D67" s="3"/>
      <c r="E67" s="3"/>
      <c r="F67" s="318" t="str">
        <f>IFERROR(__xludf.DUMMYFUNCTION("IFERROR(LET(
  mi_nivel, FILTER(I66, LEFT(UPPER(I66), 5) = ""NIVEL""),
  fila_ejercicios, FILTER(Pliometria!B:G, Pliometria!A:A = mi_nivel),
  lista_vertical, TRANSPOSE(fila_ejercicios),
  FILTER(lista_vertical, lista_vertical &lt;&gt; """")
), ""Sin pliometría"&amp;" hoy"")")," Con 2 pies, dos saltos delante y uno atras")</f>
        <v> Con 2 pies, dos saltos delante y uno atras</v>
      </c>
      <c r="K67" s="319"/>
      <c r="L67" s="318" t="str">
        <f>IFERROR(__xludf.DUMMYFUNCTION("IFERROR(LET(
  mi_nivel, FILTER(O66, LEFT(UPPER(O66), 5) = ""NIVEL""),
  fila_ejercicios, FILTER(Pliometria!B:G, Pliometria!A:A = mi_nivel),
  lista_vertical, TRANSPOSE(fila_ejercicios),
  FILTER(lista_vertical, lista_vertical &lt;&gt; """")
), ""Sin pliometría"&amp;" hoy"")"),"1 pie en cada cajon y salto rapido en el lugar")</f>
        <v>1 pie en cada cajon y salto rapido en el lugar</v>
      </c>
      <c r="Q67" s="319"/>
      <c r="R67" s="318" t="str">
        <f>IFERROR(__xludf.DUMMYFUNCTION("IFERROR(LET(
  mi_nivel, FILTER(U66, LEFT(UPPER(U66), 5) = ""NIVEL""),
  fila_ejercicios, FILTER(Pliometria!B:G, Pliometria!A:A = mi_nivel),
  lista_vertical, TRANSPOSE(fila_ejercicios),
  FILTER(lista_vertical, lista_vertical &lt;&gt; """")
), ""Sin pliometría"&amp;" hoy"")"),"Del centro, al costado, al centro, al otro costado, centro, adelante, atras [2]")</f>
        <v>Del centro, al costado, al centro, al otro costado, centro, adelante, atras [2]</v>
      </c>
      <c r="W67" s="319"/>
      <c r="X67" s="318" t="str">
        <f>IFERROR(__xludf.DUMMYFUNCTION("IFERROR(LET(
  mi_nivel, FILTER(AA66, LEFT(UPPER(AA66), 5) = ""NIVEL""),
  fila_ejercicios, FILTER(Pliometria!B:G, Pliometria!A:A = mi_nivel),
  lista_vertical, TRANSPOSE(fila_ejercicios),
  FILTER(lista_vertical, lista_vertical &lt;&gt; """")
), ""Sin pliometr"&amp;"ía hoy"")"),"Sin pliometría hoy")</f>
        <v>Sin pliometría hoy</v>
      </c>
      <c r="AC67" s="319"/>
      <c r="AD67" s="318" t="str">
        <f>IFERROR(__xludf.DUMMYFUNCTION("IFERROR(LET(
  mi_nivel, FILTER(AG66, LEFT(UPPER(AG66), 5) = ""NIVEL""),
  fila_ejercicios, FILTER(Pliometria!B:G, Pliometria!A:A = mi_nivel),
  lista_vertical, TRANSPOSE(fila_ejercicios),
  FILTER(lista_vertical, lista_vertical &lt;&gt; """")
), ""Sin pliometr"&amp;"ía hoy"")"),"Sin pliometría hoy")</f>
        <v>Sin pliometría hoy</v>
      </c>
      <c r="AI67" s="319"/>
    </row>
    <row r="68" ht="37.5" customHeight="1">
      <c r="A68" s="3"/>
      <c r="B68" s="3"/>
      <c r="C68" s="3"/>
      <c r="D68" s="3"/>
      <c r="E68" s="3"/>
      <c r="F68" s="318" t="str">
        <f>IFERROR(__xludf.DUMMYFUNCTION("""COMPUTED_VALUE"""),"2 pies salto de costado")</f>
        <v>2 pies salto de costado</v>
      </c>
      <c r="K68" s="319"/>
      <c r="L68" s="318" t="str">
        <f>IFERROR(__xludf.DUMMYFUNCTION("""COMPUTED_VALUE"""),"Pie de adelante en cajon y salto con el de atras")</f>
        <v>Pie de adelante en cajon y salto con el de atras</v>
      </c>
      <c r="Q68" s="319"/>
      <c r="R68" s="318" t="str">
        <f>IFERROR(__xludf.DUMMYFUNCTION("""COMPUTED_VALUE"""),"Delante dos veces, vuelvo de costado izquierdo y luego derecho [3]")</f>
        <v>Delante dos veces, vuelvo de costado izquierdo y luego derecho [3]</v>
      </c>
      <c r="W68" s="319"/>
      <c r="X68" s="318"/>
      <c r="AC68" s="319"/>
      <c r="AD68" s="318"/>
      <c r="AI68" s="319"/>
    </row>
    <row r="69" ht="37.5" customHeight="1">
      <c r="A69" s="3"/>
      <c r="B69" s="3"/>
      <c r="C69" s="3"/>
      <c r="D69" s="3"/>
      <c r="E69" s="3"/>
      <c r="F69" s="318" t="str">
        <f>IFERROR(__xludf.DUMMYFUNCTION("""COMPUTED_VALUE"""),"1 pie, en el lugar, salto adelante y atras")</f>
        <v>1 pie, en el lugar, salto adelante y atras</v>
      </c>
      <c r="K69" s="319"/>
      <c r="L69" s="318" t="str">
        <f>IFERROR(__xludf.DUMMYFUNCTION("""COMPUTED_VALUE"""),"Pie de atras en cajón, con el de delante salto a los costados sobre obstaculo bajo")</f>
        <v>Pie de atras en cajón, con el de delante salto a los costados sobre obstaculo bajo</v>
      </c>
      <c r="Q69" s="319"/>
      <c r="R69" s="318" t="str">
        <f>IFERROR(__xludf.DUMMYFUNCTION("""COMPUTED_VALUE"""),"Lado a lado salto sobre cajon [2]")</f>
        <v>Lado a lado salto sobre cajon [2]</v>
      </c>
      <c r="W69" s="319"/>
      <c r="X69" s="318"/>
      <c r="AC69" s="319"/>
      <c r="AD69" s="318"/>
      <c r="AI69" s="319"/>
    </row>
    <row r="70" ht="37.5" customHeight="1">
      <c r="A70" s="3"/>
      <c r="B70" s="3"/>
      <c r="C70" s="3"/>
      <c r="D70" s="3"/>
      <c r="E70" s="3"/>
      <c r="F70" s="318" t="str">
        <f>IFERROR(__xludf.DUMMYFUNCTION("""COMPUTED_VALUE"""),"1 pie, en sentido del reloj, arrancando del centro para adelante, saltar y volver siempre al centro")</f>
        <v>1 pie, en sentido del reloj, arrancando del centro para adelante, saltar y volver siempre al centro</v>
      </c>
      <c r="K70" s="319"/>
      <c r="L70" s="318" t="str">
        <f>IFERROR(__xludf.DUMMYFUNCTION("""COMPUTED_VALUE"""),"Del piso, subo el pie delantero al cajon (pie de atras en el piso)")</f>
        <v>Del piso, subo el pie delantero al cajon (pie de atras en el piso)</v>
      </c>
      <c r="Q70" s="319"/>
      <c r="R70" s="318" t="str">
        <f>IFERROR(__xludf.DUMMYFUNCTION("""COMPUTED_VALUE"""),"1 pie delante al cajón, bajo, izquierda y derecha, subo [1]")</f>
        <v>1 pie delante al cajón, bajo, izquierda y derecha, subo [1]</v>
      </c>
      <c r="W70" s="319"/>
      <c r="X70" s="320"/>
      <c r="AC70" s="319"/>
      <c r="AD70" s="318"/>
      <c r="AI70" s="319"/>
    </row>
    <row r="71" ht="37.5" customHeight="1">
      <c r="A71" s="3"/>
      <c r="B71" s="3"/>
      <c r="C71" s="3"/>
      <c r="D71" s="3"/>
      <c r="E71" s="3"/>
      <c r="F71" s="318" t="str">
        <f>IFERROR(__xludf.DUMMYFUNCTION("""COMPUTED_VALUE"""),"1 pie, salto en el lugar a los costados")</f>
        <v>1 pie, salto en el lugar a los costados</v>
      </c>
      <c r="K71" s="319"/>
      <c r="L71" s="318" t="str">
        <f>IFERROR(__xludf.DUMMYFUNCTION("""COMPUTED_VALUE"""),"Del centro a cajones con una pierna")</f>
        <v>Del centro a cajones con una pierna</v>
      </c>
      <c r="Q71" s="319"/>
      <c r="R71" s="318" t="str">
        <f>IFERROR(__xludf.DUMMYFUNCTION("""COMPUTED_VALUE"""),"Entre 2 cajones, del centro, izquierda centro derecha [1]")</f>
        <v>Entre 2 cajones, del centro, izquierda centro derecha [1]</v>
      </c>
      <c r="W71" s="319"/>
      <c r="X71" s="318"/>
      <c r="AC71" s="319"/>
      <c r="AD71" s="318"/>
      <c r="AI71" s="319"/>
    </row>
    <row r="72" ht="37.5" customHeight="1">
      <c r="A72" s="3"/>
      <c r="B72" s="3"/>
      <c r="C72" s="3"/>
      <c r="D72" s="3"/>
      <c r="E72" s="3"/>
      <c r="F72" s="321" t="str">
        <f>IFERROR(__xludf.DUMMYFUNCTION("""COMPUTED_VALUE"""),"Salto con soga")</f>
        <v>Salto con soga</v>
      </c>
      <c r="G72" s="100"/>
      <c r="H72" s="100"/>
      <c r="I72" s="100"/>
      <c r="J72" s="100"/>
      <c r="K72" s="101"/>
      <c r="L72" s="321" t="str">
        <f>IFERROR(__xludf.DUMMYFUNCTION("""COMPUTED_VALUE"""),"Del centro con ambas piernas, rotando piernas delantera a cajon")</f>
        <v>Del centro con ambas piernas, rotando piernas delantera a cajon</v>
      </c>
      <c r="M72" s="100"/>
      <c r="N72" s="100"/>
      <c r="O72" s="100"/>
      <c r="P72" s="100"/>
      <c r="Q72" s="101"/>
      <c r="R72" s="321" t="str">
        <f>IFERROR(__xludf.DUMMYFUNCTION("""COMPUTED_VALUE"""),"1 pie salto al cajon, caigo al piso, izquierda centro derecha, atras al cajon, caigo, izquierda centro derecha y repito [1]")</f>
        <v>1 pie salto al cajon, caigo al piso, izquierda centro derecha, atras al cajon, caigo, izquierda centro derecha y repito [1]</v>
      </c>
      <c r="S72" s="100"/>
      <c r="T72" s="100"/>
      <c r="U72" s="100"/>
      <c r="V72" s="100"/>
      <c r="W72" s="101"/>
      <c r="X72" s="321"/>
      <c r="Y72" s="100"/>
      <c r="Z72" s="100"/>
      <c r="AA72" s="100"/>
      <c r="AB72" s="100"/>
      <c r="AC72" s="101"/>
      <c r="AD72" s="321"/>
      <c r="AE72" s="100"/>
      <c r="AF72" s="100"/>
      <c r="AG72" s="100"/>
      <c r="AH72" s="100"/>
      <c r="AI72" s="101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</row>
  </sheetData>
  <mergeCells count="35">
    <mergeCell ref="F1:AI1"/>
    <mergeCell ref="G2:K2"/>
    <mergeCell ref="M2:Q2"/>
    <mergeCell ref="R2:W2"/>
    <mergeCell ref="X2:AC2"/>
    <mergeCell ref="AD2:AI2"/>
    <mergeCell ref="F67:K67"/>
    <mergeCell ref="L67:Q67"/>
    <mergeCell ref="R67:W67"/>
    <mergeCell ref="F68:K68"/>
    <mergeCell ref="L68:Q68"/>
    <mergeCell ref="R68:W68"/>
    <mergeCell ref="L69:Q69"/>
    <mergeCell ref="R69:W69"/>
    <mergeCell ref="X71:AC71"/>
    <mergeCell ref="AD71:AI71"/>
    <mergeCell ref="X67:AC67"/>
    <mergeCell ref="AD67:AI67"/>
    <mergeCell ref="X68:AC68"/>
    <mergeCell ref="AD68:AI68"/>
    <mergeCell ref="X69:AC70"/>
    <mergeCell ref="AD69:AI69"/>
    <mergeCell ref="AD70:AI70"/>
    <mergeCell ref="F72:K72"/>
    <mergeCell ref="L72:Q72"/>
    <mergeCell ref="R72:W72"/>
    <mergeCell ref="X72:AC72"/>
    <mergeCell ref="AD72:AI72"/>
    <mergeCell ref="F69:K69"/>
    <mergeCell ref="F70:K70"/>
    <mergeCell ref="L70:Q70"/>
    <mergeCell ref="R70:W70"/>
    <mergeCell ref="F71:K71"/>
    <mergeCell ref="L71:Q71"/>
    <mergeCell ref="R71:W71"/>
  </mergeCells>
  <conditionalFormatting sqref="A6:A8">
    <cfRule type="cellIs" dxfId="1" priority="1" operator="equal">
      <formula>0</formula>
    </cfRule>
  </conditionalFormatting>
  <conditionalFormatting sqref="B6:B8">
    <cfRule type="cellIs" dxfId="2" priority="2" operator="equal">
      <formula>0</formula>
    </cfRule>
  </conditionalFormatting>
  <conditionalFormatting sqref="C6:C8">
    <cfRule type="cellIs" dxfId="1" priority="3" operator="equal">
      <formula>0</formula>
    </cfRule>
  </conditionalFormatting>
  <conditionalFormatting sqref="D6:D8">
    <cfRule type="cellIs" dxfId="1" priority="4" operator="equal">
      <formula>0</formula>
    </cfRule>
  </conditionalFormatting>
  <conditionalFormatting sqref="E6:E8">
    <cfRule type="cellIs" dxfId="1" priority="5" operator="equal">
      <formula>0</formula>
    </cfRule>
  </conditionalFormatting>
  <conditionalFormatting sqref="A9">
    <cfRule type="cellIs" dxfId="1" priority="6" operator="equal">
      <formula>0</formula>
    </cfRule>
  </conditionalFormatting>
  <conditionalFormatting sqref="A10">
    <cfRule type="cellIs" dxfId="1" priority="7" operator="equal">
      <formula>0</formula>
    </cfRule>
  </conditionalFormatting>
  <conditionalFormatting sqref="A11">
    <cfRule type="cellIs" dxfId="1" priority="8" operator="equal">
      <formula>0</formula>
    </cfRule>
  </conditionalFormatting>
  <conditionalFormatting sqref="A12">
    <cfRule type="cellIs" dxfId="1" priority="9" operator="equal">
      <formula>0</formula>
    </cfRule>
  </conditionalFormatting>
  <conditionalFormatting sqref="A13">
    <cfRule type="cellIs" dxfId="1" priority="10" operator="equal">
      <formula>0</formula>
    </cfRule>
  </conditionalFormatting>
  <conditionalFormatting sqref="A14">
    <cfRule type="cellIs" dxfId="1" priority="11" operator="equal">
      <formula>0</formula>
    </cfRule>
  </conditionalFormatting>
  <conditionalFormatting sqref="A15">
    <cfRule type="cellIs" dxfId="1" priority="12" operator="equal">
      <formula>0</formula>
    </cfRule>
  </conditionalFormatting>
  <conditionalFormatting sqref="A16">
    <cfRule type="cellIs" dxfId="1" priority="13" operator="equal">
      <formula>0</formula>
    </cfRule>
  </conditionalFormatting>
  <conditionalFormatting sqref="B9">
    <cfRule type="cellIs" dxfId="1" priority="14" operator="equal">
      <formula>0</formula>
    </cfRule>
  </conditionalFormatting>
  <conditionalFormatting sqref="B10">
    <cfRule type="cellIs" dxfId="1" priority="15" operator="equal">
      <formula>0</formula>
    </cfRule>
  </conditionalFormatting>
  <conditionalFormatting sqref="B11">
    <cfRule type="cellIs" dxfId="1" priority="16" operator="equal">
      <formula>0</formula>
    </cfRule>
  </conditionalFormatting>
  <conditionalFormatting sqref="B12">
    <cfRule type="cellIs" dxfId="1" priority="17" operator="equal">
      <formula>0</formula>
    </cfRule>
  </conditionalFormatting>
  <conditionalFormatting sqref="B13">
    <cfRule type="cellIs" dxfId="1" priority="18" operator="equal">
      <formula>0</formula>
    </cfRule>
  </conditionalFormatting>
  <conditionalFormatting sqref="B14">
    <cfRule type="cellIs" dxfId="1" priority="19" operator="equal">
      <formula>0</formula>
    </cfRule>
  </conditionalFormatting>
  <conditionalFormatting sqref="B15">
    <cfRule type="cellIs" dxfId="1" priority="20" operator="equal">
      <formula>0</formula>
    </cfRule>
  </conditionalFormatting>
  <conditionalFormatting sqref="B15">
    <cfRule type="cellIs" dxfId="1" priority="21" operator="equal">
      <formula>0</formula>
    </cfRule>
  </conditionalFormatting>
  <conditionalFormatting sqref="C9">
    <cfRule type="cellIs" dxfId="1" priority="22" operator="equal">
      <formula>0</formula>
    </cfRule>
  </conditionalFormatting>
  <conditionalFormatting sqref="C10">
    <cfRule type="cellIs" dxfId="1" priority="23" operator="equal">
      <formula>0</formula>
    </cfRule>
  </conditionalFormatting>
  <conditionalFormatting sqref="C11">
    <cfRule type="cellIs" dxfId="1" priority="24" operator="equal">
      <formula>0</formula>
    </cfRule>
  </conditionalFormatting>
  <conditionalFormatting sqref="C12">
    <cfRule type="cellIs" dxfId="1" priority="25" operator="equal">
      <formula>0</formula>
    </cfRule>
  </conditionalFormatting>
  <conditionalFormatting sqref="C12">
    <cfRule type="cellIs" dxfId="1" priority="26" operator="equal">
      <formula>0</formula>
    </cfRule>
  </conditionalFormatting>
  <conditionalFormatting sqref="C13">
    <cfRule type="cellIs" dxfId="1" priority="27" operator="equal">
      <formula>0</formula>
    </cfRule>
  </conditionalFormatting>
  <conditionalFormatting sqref="C14">
    <cfRule type="cellIs" dxfId="1" priority="28" operator="equal">
      <formula>0</formula>
    </cfRule>
  </conditionalFormatting>
  <conditionalFormatting sqref="C15">
    <cfRule type="cellIs" dxfId="1" priority="29" operator="equal">
      <formula>0</formula>
    </cfRule>
  </conditionalFormatting>
  <conditionalFormatting sqref="D9">
    <cfRule type="cellIs" dxfId="1" priority="30" operator="equal">
      <formula>0</formula>
    </cfRule>
  </conditionalFormatting>
  <conditionalFormatting sqref="D10">
    <cfRule type="cellIs" dxfId="1" priority="31" operator="equal">
      <formula>0</formula>
    </cfRule>
  </conditionalFormatting>
  <conditionalFormatting sqref="D11">
    <cfRule type="cellIs" dxfId="1" priority="32" operator="equal">
      <formula>0</formula>
    </cfRule>
  </conditionalFormatting>
  <conditionalFormatting sqref="D12">
    <cfRule type="cellIs" dxfId="1" priority="33" operator="equal">
      <formula>0</formula>
    </cfRule>
  </conditionalFormatting>
  <conditionalFormatting sqref="D13">
    <cfRule type="cellIs" dxfId="1" priority="34" operator="equal">
      <formula>0</formula>
    </cfRule>
  </conditionalFormatting>
  <conditionalFormatting sqref="D14">
    <cfRule type="cellIs" dxfId="1" priority="35" operator="equal">
      <formula>0</formula>
    </cfRule>
  </conditionalFormatting>
  <conditionalFormatting sqref="D15">
    <cfRule type="cellIs" dxfId="1" priority="36" operator="equal">
      <formula>0</formula>
    </cfRule>
  </conditionalFormatting>
  <conditionalFormatting sqref="E9">
    <cfRule type="cellIs" dxfId="1" priority="37" operator="equal">
      <formula>0</formula>
    </cfRule>
  </conditionalFormatting>
  <conditionalFormatting sqref="E10">
    <cfRule type="cellIs" dxfId="1" priority="38" operator="equal">
      <formula>0</formula>
    </cfRule>
  </conditionalFormatting>
  <conditionalFormatting sqref="E11">
    <cfRule type="cellIs" dxfId="1" priority="39" operator="equal">
      <formula>0</formula>
    </cfRule>
  </conditionalFormatting>
  <conditionalFormatting sqref="E12">
    <cfRule type="cellIs" dxfId="1" priority="40" operator="equal">
      <formula>0</formula>
    </cfRule>
  </conditionalFormatting>
  <conditionalFormatting sqref="E13">
    <cfRule type="cellIs" dxfId="1" priority="41" operator="equal">
      <formula>0</formula>
    </cfRule>
  </conditionalFormatting>
  <conditionalFormatting sqref="E14">
    <cfRule type="cellIs" dxfId="1" priority="42" operator="equal">
      <formula>0</formula>
    </cfRule>
  </conditionalFormatting>
  <conditionalFormatting sqref="E15">
    <cfRule type="cellIs" dxfId="1" priority="43" operator="equal">
      <formula>0</formula>
    </cfRule>
  </conditionalFormatting>
  <conditionalFormatting sqref="A19:A21">
    <cfRule type="cellIs" dxfId="1" priority="44" operator="equal">
      <formula>0</formula>
    </cfRule>
  </conditionalFormatting>
  <conditionalFormatting sqref="A22">
    <cfRule type="cellIs" dxfId="2" priority="45" operator="equal">
      <formula>0</formula>
    </cfRule>
  </conditionalFormatting>
  <conditionalFormatting sqref="A23">
    <cfRule type="cellIs" dxfId="2" priority="46" operator="equal">
      <formula>0</formula>
    </cfRule>
  </conditionalFormatting>
  <conditionalFormatting sqref="A24">
    <cfRule type="cellIs" dxfId="2" priority="47" operator="equal">
      <formula>0</formula>
    </cfRule>
  </conditionalFormatting>
  <conditionalFormatting sqref="A25">
    <cfRule type="cellIs" dxfId="2" priority="48" operator="equal">
      <formula>0</formula>
    </cfRule>
  </conditionalFormatting>
  <conditionalFormatting sqref="A26">
    <cfRule type="cellIs" dxfId="2" priority="49" operator="equal">
      <formula>0</formula>
    </cfRule>
  </conditionalFormatting>
  <conditionalFormatting sqref="A27">
    <cfRule type="cellIs" dxfId="2" priority="50" operator="equal">
      <formula>0</formula>
    </cfRule>
  </conditionalFormatting>
  <conditionalFormatting sqref="A28">
    <cfRule type="cellIs" dxfId="2" priority="51" operator="equal">
      <formula>0</formula>
    </cfRule>
  </conditionalFormatting>
  <conditionalFormatting sqref="B22">
    <cfRule type="cellIs" dxfId="2" priority="52" operator="equal">
      <formula>0</formula>
    </cfRule>
  </conditionalFormatting>
  <conditionalFormatting sqref="B23">
    <cfRule type="cellIs" dxfId="2" priority="53" operator="equal">
      <formula>0</formula>
    </cfRule>
  </conditionalFormatting>
  <conditionalFormatting sqref="B24">
    <cfRule type="cellIs" dxfId="2" priority="54" operator="equal">
      <formula>0</formula>
    </cfRule>
  </conditionalFormatting>
  <conditionalFormatting sqref="B25">
    <cfRule type="cellIs" dxfId="2" priority="55" operator="equal">
      <formula>0</formula>
    </cfRule>
  </conditionalFormatting>
  <conditionalFormatting sqref="B26">
    <cfRule type="cellIs" dxfId="2" priority="56" operator="equal">
      <formula>0</formula>
    </cfRule>
  </conditionalFormatting>
  <conditionalFormatting sqref="B27">
    <cfRule type="cellIs" dxfId="2" priority="57" operator="equal">
      <formula>0</formula>
    </cfRule>
  </conditionalFormatting>
  <conditionalFormatting sqref="B28">
    <cfRule type="cellIs" dxfId="2" priority="58" operator="equal">
      <formula>0</formula>
    </cfRule>
  </conditionalFormatting>
  <conditionalFormatting sqref="C22">
    <cfRule type="cellIs" dxfId="2" priority="59" operator="equal">
      <formula>0</formula>
    </cfRule>
  </conditionalFormatting>
  <conditionalFormatting sqref="C23">
    <cfRule type="cellIs" dxfId="2" priority="60" operator="equal">
      <formula>0</formula>
    </cfRule>
  </conditionalFormatting>
  <conditionalFormatting sqref="C24">
    <cfRule type="cellIs" dxfId="2" priority="61" operator="equal">
      <formula>0</formula>
    </cfRule>
  </conditionalFormatting>
  <conditionalFormatting sqref="C25">
    <cfRule type="cellIs" dxfId="2" priority="62" operator="equal">
      <formula>0</formula>
    </cfRule>
  </conditionalFormatting>
  <conditionalFormatting sqref="C26">
    <cfRule type="cellIs" dxfId="2" priority="63" operator="equal">
      <formula>0</formula>
    </cfRule>
  </conditionalFormatting>
  <conditionalFormatting sqref="C27">
    <cfRule type="cellIs" dxfId="2" priority="64" operator="equal">
      <formula>0</formula>
    </cfRule>
  </conditionalFormatting>
  <conditionalFormatting sqref="C28">
    <cfRule type="cellIs" dxfId="2" priority="65" operator="equal">
      <formula>0</formula>
    </cfRule>
  </conditionalFormatting>
  <conditionalFormatting sqref="D22">
    <cfRule type="cellIs" dxfId="2" priority="66" operator="equal">
      <formula>0</formula>
    </cfRule>
  </conditionalFormatting>
  <conditionalFormatting sqref="D23">
    <cfRule type="cellIs" dxfId="2" priority="67" operator="equal">
      <formula>0</formula>
    </cfRule>
  </conditionalFormatting>
  <conditionalFormatting sqref="D24">
    <cfRule type="cellIs" dxfId="2" priority="68" operator="equal">
      <formula>0</formula>
    </cfRule>
  </conditionalFormatting>
  <conditionalFormatting sqref="D25">
    <cfRule type="cellIs" dxfId="2" priority="69" operator="equal">
      <formula>0</formula>
    </cfRule>
  </conditionalFormatting>
  <conditionalFormatting sqref="D26">
    <cfRule type="cellIs" dxfId="2" priority="70" operator="equal">
      <formula>0</formula>
    </cfRule>
  </conditionalFormatting>
  <conditionalFormatting sqref="D27">
    <cfRule type="cellIs" dxfId="2" priority="71" operator="equal">
      <formula>0</formula>
    </cfRule>
  </conditionalFormatting>
  <conditionalFormatting sqref="D28">
    <cfRule type="cellIs" dxfId="2" priority="72" operator="equal">
      <formula>0</formula>
    </cfRule>
  </conditionalFormatting>
  <conditionalFormatting sqref="E22">
    <cfRule type="cellIs" dxfId="2" priority="73" operator="equal">
      <formula>0</formula>
    </cfRule>
  </conditionalFormatting>
  <conditionalFormatting sqref="E23">
    <cfRule type="cellIs" dxfId="2" priority="74" operator="equal">
      <formula>0</formula>
    </cfRule>
  </conditionalFormatting>
  <conditionalFormatting sqref="E24">
    <cfRule type="cellIs" dxfId="2" priority="75" operator="equal">
      <formula>0</formula>
    </cfRule>
  </conditionalFormatting>
  <conditionalFormatting sqref="E25">
    <cfRule type="cellIs" dxfId="2" priority="76" operator="equal">
      <formula>0</formula>
    </cfRule>
  </conditionalFormatting>
  <conditionalFormatting sqref="E26">
    <cfRule type="cellIs" dxfId="2" priority="77" operator="equal">
      <formula>0</formula>
    </cfRule>
  </conditionalFormatting>
  <conditionalFormatting sqref="E26">
    <cfRule type="cellIs" dxfId="2" priority="78" operator="equal">
      <formula>0</formula>
    </cfRule>
  </conditionalFormatting>
  <conditionalFormatting sqref="E28">
    <cfRule type="cellIs" dxfId="2" priority="79" operator="equal">
      <formula>0</formula>
    </cfRule>
  </conditionalFormatting>
  <conditionalFormatting sqref="E28">
    <cfRule type="cellIs" dxfId="2" priority="80" operator="equal">
      <formula>0</formula>
    </cfRule>
  </conditionalFormatting>
  <conditionalFormatting sqref="E27">
    <cfRule type="cellIs" dxfId="1" priority="81" operator="equal">
      <formula>0</formula>
    </cfRule>
  </conditionalFormatting>
  <conditionalFormatting sqref="B19:B21">
    <cfRule type="cellIs" dxfId="1" priority="82" operator="equal">
      <formula>0</formula>
    </cfRule>
  </conditionalFormatting>
  <conditionalFormatting sqref="C19:C21">
    <cfRule type="cellIs" dxfId="1" priority="83" operator="equal">
      <formula>0</formula>
    </cfRule>
  </conditionalFormatting>
  <conditionalFormatting sqref="D19:D21">
    <cfRule type="cellIs" dxfId="1" priority="84" operator="equal">
      <formula>0</formula>
    </cfRule>
  </conditionalFormatting>
  <conditionalFormatting sqref="E19:E21">
    <cfRule type="cellIs" dxfId="1" priority="85" operator="equal">
      <formula>0</formula>
    </cfRule>
  </conditionalFormatting>
  <dataValidations>
    <dataValidation type="list" allowBlank="1" showDropDown="1" showErrorMessage="1" sqref="I3 O3 U3 AA3 AG3 I16 O16 U16 AA16 AG16 I29 O29 U29 AA29 AG29 I41 O41 U41 AA41 AG41 I53 O53 U53 AA53 AG53">
      <formula1>Ejercicios!$A$2:$A$33</formula1>
    </dataValidation>
    <dataValidation type="list" allowBlank="1" showDropDown="1" showErrorMessage="1" sqref="I66 O66 U66 AA66 AG66">
      <formula1>Ejercicios!$A$32:$A$39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5.75"/>
    <col hidden="1" min="3" max="5" width="12.63"/>
    <col customWidth="1" min="9" max="9" width="25.13"/>
    <col customWidth="1" min="12" max="12" width="13.25"/>
    <col customWidth="1" min="19" max="19" width="15.13"/>
  </cols>
  <sheetData>
    <row r="1">
      <c r="A1" s="119"/>
      <c r="B1" s="120"/>
      <c r="C1" s="120"/>
      <c r="D1" s="121"/>
      <c r="E1" s="122"/>
      <c r="F1" s="125" t="s">
        <v>117</v>
      </c>
      <c r="J1" s="121"/>
      <c r="K1" s="131" t="s">
        <v>118</v>
      </c>
      <c r="L1" s="132"/>
      <c r="M1" s="133" t="s">
        <v>119</v>
      </c>
      <c r="N1" s="134"/>
      <c r="O1" s="133" t="s">
        <v>120</v>
      </c>
      <c r="P1" s="135" t="s">
        <v>121</v>
      </c>
      <c r="Q1" s="135" t="s">
        <v>122</v>
      </c>
      <c r="R1" s="135" t="s">
        <v>123</v>
      </c>
      <c r="S1" s="137" t="s">
        <v>124</v>
      </c>
      <c r="T1" s="138"/>
      <c r="U1" s="138"/>
      <c r="V1" s="138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>
      <c r="A2" s="142"/>
      <c r="B2" s="143" t="s">
        <v>128</v>
      </c>
      <c r="C2" s="120"/>
      <c r="D2" s="121"/>
      <c r="E2" s="145"/>
      <c r="F2" s="146" t="s">
        <v>131</v>
      </c>
      <c r="G2" s="147"/>
      <c r="H2" s="147"/>
      <c r="I2" s="150">
        <v>5.0</v>
      </c>
      <c r="J2" s="121"/>
      <c r="K2" s="151">
        <f>IFERROR(__xludf.DUMMYFUNCTION("FILTER(SEQUENCE(366, 1, DATE(2026, 1, 1)), WEEKDAY(SEQUENCE(366, 1, DATE(2026, 1, 1)), 2) = 1, YEAR(SEQUENCE(366, 1, DATE(2026, 1, 1))) = 2026)"),46027.0)</f>
        <v>46027</v>
      </c>
      <c r="L2" s="152">
        <f t="shared" ref="L2:L53" si="1">K2+6</f>
        <v>46033</v>
      </c>
      <c r="M2" s="153" t="s">
        <v>134</v>
      </c>
      <c r="N2" s="153"/>
      <c r="O2" s="154"/>
      <c r="P2" s="155"/>
      <c r="Q2" s="156"/>
      <c r="R2" s="156"/>
      <c r="S2" s="157"/>
      <c r="T2" s="138"/>
      <c r="U2" s="138"/>
      <c r="V2" s="138"/>
      <c r="W2" s="158"/>
      <c r="X2" s="158"/>
      <c r="Y2" s="158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>
      <c r="A3" s="142"/>
      <c r="B3" s="143" t="s">
        <v>135</v>
      </c>
      <c r="C3" s="120"/>
      <c r="D3" s="121"/>
      <c r="E3" s="158"/>
      <c r="F3" s="159" t="s">
        <v>136</v>
      </c>
      <c r="G3" s="160"/>
      <c r="H3" s="160"/>
      <c r="I3" s="161" t="s">
        <v>137</v>
      </c>
      <c r="J3" s="121"/>
      <c r="K3" s="151">
        <f>IFERROR(__xludf.DUMMYFUNCTION("""COMPUTED_VALUE"""),46034.0)</f>
        <v>46034</v>
      </c>
      <c r="L3" s="152">
        <f t="shared" si="1"/>
        <v>46040</v>
      </c>
      <c r="M3" s="162"/>
      <c r="N3" s="163"/>
      <c r="O3" s="154"/>
      <c r="P3" s="164"/>
      <c r="Q3" s="165"/>
      <c r="R3" s="165"/>
      <c r="S3" s="166"/>
      <c r="T3" s="138"/>
      <c r="U3" s="138"/>
      <c r="V3" s="138"/>
      <c r="W3" s="158"/>
      <c r="X3" s="158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</row>
    <row r="4">
      <c r="A4" s="142"/>
      <c r="B4" s="143" t="s">
        <v>138</v>
      </c>
      <c r="C4" s="120"/>
      <c r="D4" s="121"/>
      <c r="E4" s="158"/>
      <c r="F4" s="167" t="s">
        <v>139</v>
      </c>
      <c r="G4" s="168"/>
      <c r="H4" s="168"/>
      <c r="I4" s="169">
        <v>3.0</v>
      </c>
      <c r="J4" s="121"/>
      <c r="K4" s="151">
        <f>IFERROR(__xludf.DUMMYFUNCTION("""COMPUTED_VALUE"""),46041.0)</f>
        <v>46041</v>
      </c>
      <c r="L4" s="152">
        <f t="shared" si="1"/>
        <v>46047</v>
      </c>
      <c r="M4" s="162"/>
      <c r="N4" s="163"/>
      <c r="O4" s="154"/>
      <c r="P4" s="164"/>
      <c r="Q4" s="165"/>
      <c r="R4" s="165"/>
      <c r="S4" s="166"/>
      <c r="T4" s="138"/>
      <c r="U4" s="138"/>
      <c r="V4" s="138"/>
      <c r="W4" s="158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</row>
    <row r="5">
      <c r="A5" s="142"/>
      <c r="B5" s="143" t="s">
        <v>140</v>
      </c>
      <c r="C5" s="120"/>
      <c r="D5" s="121"/>
      <c r="E5" s="158"/>
      <c r="F5" s="158"/>
      <c r="G5" s="158"/>
      <c r="H5" s="158"/>
      <c r="I5" s="158"/>
      <c r="J5" s="170"/>
      <c r="K5" s="151">
        <f>IFERROR(__xludf.DUMMYFUNCTION("""COMPUTED_VALUE"""),46048.0)</f>
        <v>46048</v>
      </c>
      <c r="L5" s="152">
        <f t="shared" si="1"/>
        <v>46054</v>
      </c>
      <c r="M5" s="171"/>
      <c r="N5" s="163"/>
      <c r="O5" s="154"/>
      <c r="P5" s="164"/>
      <c r="Q5" s="165"/>
      <c r="R5" s="165"/>
      <c r="S5" s="166"/>
      <c r="T5" s="138"/>
      <c r="U5" s="138"/>
      <c r="V5" s="138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</row>
    <row r="6">
      <c r="A6" s="142"/>
      <c r="B6" s="143" t="s">
        <v>141</v>
      </c>
      <c r="C6" s="120"/>
      <c r="D6" s="121"/>
      <c r="E6" s="158"/>
      <c r="F6" s="172" t="s">
        <v>125</v>
      </c>
      <c r="G6" s="173"/>
      <c r="H6" s="173"/>
      <c r="I6" s="174"/>
      <c r="J6" s="175" t="s">
        <v>142</v>
      </c>
      <c r="K6" s="151">
        <f>IFERROR(__xludf.DUMMYFUNCTION("""COMPUTED_VALUE"""),46055.0)</f>
        <v>46055</v>
      </c>
      <c r="L6" s="152">
        <f t="shared" si="1"/>
        <v>46061</v>
      </c>
      <c r="M6" s="153" t="s">
        <v>143</v>
      </c>
      <c r="N6" s="163"/>
      <c r="O6" s="154"/>
      <c r="P6" s="164"/>
      <c r="Q6" s="165"/>
      <c r="R6" s="165"/>
      <c r="S6" s="166"/>
      <c r="T6" s="138"/>
      <c r="U6" s="138"/>
      <c r="V6" s="138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</row>
    <row r="7">
      <c r="A7" s="142"/>
      <c r="B7" s="143" t="s">
        <v>144</v>
      </c>
      <c r="C7" s="120"/>
      <c r="D7" s="121"/>
      <c r="E7" s="158"/>
      <c r="F7" s="176" t="s">
        <v>12</v>
      </c>
      <c r="G7" s="177"/>
      <c r="H7" s="178"/>
      <c r="I7" s="179">
        <v>72.0</v>
      </c>
      <c r="K7" s="151">
        <f>IFERROR(__xludf.DUMMYFUNCTION("""COMPUTED_VALUE"""),46062.0)</f>
        <v>46062</v>
      </c>
      <c r="L7" s="152">
        <f t="shared" si="1"/>
        <v>46068</v>
      </c>
      <c r="M7" s="162"/>
      <c r="N7" s="163"/>
      <c r="O7" s="154"/>
      <c r="P7" s="164"/>
      <c r="Q7" s="165"/>
      <c r="R7" s="165"/>
      <c r="S7" s="166"/>
      <c r="T7" s="138"/>
      <c r="U7" s="138"/>
      <c r="V7" s="138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</row>
    <row r="8">
      <c r="A8" s="142"/>
      <c r="B8" s="143" t="s">
        <v>145</v>
      </c>
      <c r="C8" s="120"/>
      <c r="D8" s="121"/>
      <c r="E8" s="158"/>
      <c r="F8" s="180" t="s">
        <v>146</v>
      </c>
      <c r="G8" s="181"/>
      <c r="H8" s="182"/>
      <c r="I8" s="183">
        <v>250.0</v>
      </c>
      <c r="K8" s="151">
        <f>IFERROR(__xludf.DUMMYFUNCTION("""COMPUTED_VALUE"""),46069.0)</f>
        <v>46069</v>
      </c>
      <c r="L8" s="152">
        <f t="shared" si="1"/>
        <v>46075</v>
      </c>
      <c r="M8" s="162"/>
      <c r="N8" s="163"/>
      <c r="O8" s="154"/>
      <c r="P8" s="164"/>
      <c r="Q8" s="165"/>
      <c r="R8" s="165"/>
      <c r="S8" s="166"/>
      <c r="T8" s="138"/>
      <c r="U8" s="138"/>
      <c r="V8" s="138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</row>
    <row r="9">
      <c r="A9" s="142"/>
      <c r="B9" s="143" t="s">
        <v>147</v>
      </c>
      <c r="C9" s="120"/>
      <c r="D9" s="158"/>
      <c r="E9" s="158"/>
      <c r="F9" s="184" t="s">
        <v>148</v>
      </c>
      <c r="G9" s="185"/>
      <c r="H9" s="186"/>
      <c r="I9" s="187"/>
      <c r="K9" s="151">
        <f>IFERROR(__xludf.DUMMYFUNCTION("""COMPUTED_VALUE"""),46076.0)</f>
        <v>46076</v>
      </c>
      <c r="L9" s="152">
        <f t="shared" si="1"/>
        <v>46082</v>
      </c>
      <c r="M9" s="171"/>
      <c r="N9" s="163"/>
      <c r="O9" s="154"/>
      <c r="P9" s="164"/>
      <c r="Q9" s="165"/>
      <c r="R9" s="165"/>
      <c r="S9" s="166"/>
      <c r="T9" s="138"/>
      <c r="U9" s="138"/>
      <c r="V9" s="138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</row>
    <row r="10">
      <c r="A10" s="142"/>
      <c r="B10" s="143" t="s">
        <v>149</v>
      </c>
      <c r="C10" s="120"/>
      <c r="D10" s="158"/>
      <c r="E10" s="158"/>
      <c r="F10" s="158"/>
      <c r="G10" s="158"/>
      <c r="H10" s="158"/>
      <c r="I10" s="158"/>
      <c r="K10" s="151">
        <f>IFERROR(__xludf.DUMMYFUNCTION("""COMPUTED_VALUE"""),46083.0)</f>
        <v>46083</v>
      </c>
      <c r="L10" s="152">
        <f t="shared" si="1"/>
        <v>46089</v>
      </c>
      <c r="M10" s="153" t="s">
        <v>150</v>
      </c>
      <c r="N10" s="163"/>
      <c r="O10" s="154"/>
      <c r="P10" s="164"/>
      <c r="Q10" s="165"/>
      <c r="R10" s="165"/>
      <c r="S10" s="166"/>
      <c r="T10" s="138"/>
      <c r="U10" s="138"/>
      <c r="V10" s="138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</row>
    <row r="11">
      <c r="A11" s="142"/>
      <c r="B11" s="188"/>
      <c r="C11" s="120"/>
      <c r="D11" s="189"/>
      <c r="E11" s="158"/>
      <c r="F11" s="190" t="s">
        <v>151</v>
      </c>
      <c r="G11" s="191"/>
      <c r="H11" s="191"/>
      <c r="I11" s="192"/>
      <c r="K11" s="151">
        <f>IFERROR(__xludf.DUMMYFUNCTION("""COMPUTED_VALUE"""),46090.0)</f>
        <v>46090</v>
      </c>
      <c r="L11" s="152">
        <f t="shared" si="1"/>
        <v>46096</v>
      </c>
      <c r="M11" s="162"/>
      <c r="N11" s="163"/>
      <c r="O11" s="154"/>
      <c r="P11" s="164"/>
      <c r="Q11" s="165"/>
      <c r="R11" s="165"/>
      <c r="S11" s="166"/>
      <c r="T11" s="3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</row>
    <row r="12">
      <c r="A12" s="142"/>
      <c r="B12" s="188"/>
      <c r="C12" s="120"/>
      <c r="D12" s="121"/>
      <c r="E12" s="158"/>
      <c r="F12" s="193" t="s">
        <v>12</v>
      </c>
      <c r="G12" s="194"/>
      <c r="H12" s="194"/>
      <c r="I12" s="195">
        <v>76.0</v>
      </c>
      <c r="K12" s="151">
        <f>IFERROR(__xludf.DUMMYFUNCTION("""COMPUTED_VALUE"""),46097.0)</f>
        <v>46097</v>
      </c>
      <c r="L12" s="152">
        <f t="shared" si="1"/>
        <v>46103</v>
      </c>
      <c r="M12" s="162"/>
      <c r="N12" s="163"/>
      <c r="O12" s="154"/>
      <c r="P12" s="164"/>
      <c r="Q12" s="165"/>
      <c r="R12" s="165"/>
      <c r="S12" s="166"/>
      <c r="T12" s="3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</row>
    <row r="13">
      <c r="A13" s="142"/>
      <c r="B13" s="188"/>
      <c r="C13" s="120"/>
      <c r="D13" s="121"/>
      <c r="E13" s="158"/>
      <c r="F13" s="193" t="s">
        <v>146</v>
      </c>
      <c r="G13" s="194"/>
      <c r="H13" s="196"/>
      <c r="I13" s="195">
        <v>350.0</v>
      </c>
      <c r="K13" s="151">
        <f>IFERROR(__xludf.DUMMYFUNCTION("""COMPUTED_VALUE"""),46104.0)</f>
        <v>46104</v>
      </c>
      <c r="L13" s="152">
        <f t="shared" si="1"/>
        <v>46110</v>
      </c>
      <c r="M13" s="171"/>
      <c r="N13" s="163"/>
      <c r="O13" s="154"/>
      <c r="P13" s="164"/>
      <c r="Q13" s="165"/>
      <c r="R13" s="165"/>
      <c r="S13" s="166"/>
      <c r="T13" s="3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>
      <c r="A14" s="142"/>
      <c r="B14" s="188"/>
      <c r="C14" s="120"/>
      <c r="D14" s="121"/>
      <c r="E14" s="158"/>
      <c r="F14" s="197" t="s">
        <v>152</v>
      </c>
      <c r="G14" s="198"/>
      <c r="H14" s="199"/>
      <c r="I14" s="200"/>
      <c r="K14" s="151">
        <f>IFERROR(__xludf.DUMMYFUNCTION("""COMPUTED_VALUE"""),46111.0)</f>
        <v>46111</v>
      </c>
      <c r="L14" s="152">
        <f t="shared" si="1"/>
        <v>46117</v>
      </c>
      <c r="M14" s="153" t="s">
        <v>153</v>
      </c>
      <c r="N14" s="163"/>
      <c r="O14" s="154"/>
      <c r="P14" s="164"/>
      <c r="Q14" s="165"/>
      <c r="R14" s="165"/>
      <c r="S14" s="166"/>
      <c r="T14" s="3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</row>
    <row r="15">
      <c r="A15" s="121"/>
      <c r="B15" s="121"/>
      <c r="C15" s="121"/>
      <c r="D15" s="121"/>
      <c r="E15" s="158"/>
      <c r="F15" s="158"/>
      <c r="G15" s="158"/>
      <c r="H15" s="158"/>
      <c r="I15" s="158"/>
      <c r="J15" s="158"/>
      <c r="K15" s="151">
        <f>IFERROR(__xludf.DUMMYFUNCTION("""COMPUTED_VALUE"""),46118.0)</f>
        <v>46118</v>
      </c>
      <c r="L15" s="152">
        <f t="shared" si="1"/>
        <v>46124</v>
      </c>
      <c r="M15" s="162"/>
      <c r="N15" s="163"/>
      <c r="O15" s="154"/>
      <c r="P15" s="164"/>
      <c r="Q15" s="165"/>
      <c r="R15" s="165"/>
      <c r="S15" s="166"/>
      <c r="T15" s="3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</row>
    <row r="16">
      <c r="A16" s="121"/>
      <c r="B16" s="201"/>
      <c r="C16" s="202"/>
      <c r="D16" s="203"/>
      <c r="E16" s="203"/>
      <c r="K16" s="151">
        <f>IFERROR(__xludf.DUMMYFUNCTION("""COMPUTED_VALUE"""),46125.0)</f>
        <v>46125</v>
      </c>
      <c r="L16" s="152">
        <f t="shared" si="1"/>
        <v>46131</v>
      </c>
      <c r="M16" s="162"/>
      <c r="N16" s="163"/>
      <c r="O16" s="154"/>
      <c r="P16" s="164"/>
      <c r="Q16" s="165"/>
      <c r="R16" s="165"/>
      <c r="S16" s="166"/>
      <c r="T16" s="3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</row>
    <row r="17">
      <c r="A17" s="121"/>
      <c r="B17" s="158"/>
      <c r="C17" s="158"/>
      <c r="D17" s="158"/>
      <c r="E17" s="158"/>
      <c r="K17" s="151">
        <f>IFERROR(__xludf.DUMMYFUNCTION("""COMPUTED_VALUE"""),46132.0)</f>
        <v>46132</v>
      </c>
      <c r="L17" s="152">
        <f t="shared" si="1"/>
        <v>46138</v>
      </c>
      <c r="M17" s="162"/>
      <c r="N17" s="163"/>
      <c r="O17" s="204"/>
      <c r="P17" s="164"/>
      <c r="Q17" s="165"/>
      <c r="R17" s="165"/>
      <c r="S17" s="166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</row>
    <row r="18">
      <c r="A18" s="121"/>
      <c r="B18" s="201"/>
      <c r="C18" s="121"/>
      <c r="D18" s="158"/>
      <c r="E18" s="158"/>
      <c r="K18" s="151">
        <f>IFERROR(__xludf.DUMMYFUNCTION("""COMPUTED_VALUE"""),46139.0)</f>
        <v>46139</v>
      </c>
      <c r="L18" s="152">
        <f t="shared" si="1"/>
        <v>46145</v>
      </c>
      <c r="M18" s="171"/>
      <c r="N18" s="158"/>
      <c r="O18" s="205"/>
      <c r="P18" s="164"/>
      <c r="Q18" s="165"/>
      <c r="R18" s="165"/>
      <c r="S18" s="166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</row>
    <row r="19">
      <c r="A19" s="121"/>
      <c r="B19" s="201"/>
      <c r="C19" s="121"/>
      <c r="D19" s="158"/>
      <c r="E19" s="121"/>
      <c r="K19" s="151">
        <f>IFERROR(__xludf.DUMMYFUNCTION("""COMPUTED_VALUE"""),46146.0)</f>
        <v>46146</v>
      </c>
      <c r="L19" s="152">
        <f t="shared" si="1"/>
        <v>46152</v>
      </c>
      <c r="M19" s="153" t="s">
        <v>154</v>
      </c>
      <c r="N19" s="158"/>
      <c r="O19" s="205"/>
      <c r="P19" s="164"/>
      <c r="Q19" s="165"/>
      <c r="R19" s="165"/>
      <c r="S19" s="166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</row>
    <row r="20">
      <c r="A20" s="121"/>
      <c r="B20" s="201"/>
      <c r="C20" s="121"/>
      <c r="D20" s="158"/>
      <c r="E20" s="121"/>
      <c r="K20" s="151">
        <f>IFERROR(__xludf.DUMMYFUNCTION("""COMPUTED_VALUE"""),46153.0)</f>
        <v>46153</v>
      </c>
      <c r="L20" s="152">
        <f t="shared" si="1"/>
        <v>46159</v>
      </c>
      <c r="M20" s="162"/>
      <c r="N20" s="209"/>
      <c r="O20" s="205"/>
      <c r="P20" s="164"/>
      <c r="Q20" s="165"/>
      <c r="R20" s="165"/>
      <c r="S20" s="166"/>
      <c r="T20" s="158"/>
      <c r="U20" s="158"/>
      <c r="V20" s="158"/>
      <c r="W20" s="158"/>
      <c r="X20" s="158"/>
      <c r="Y20" s="158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</row>
    <row r="21">
      <c r="A21" s="121"/>
      <c r="B21" s="201"/>
      <c r="C21" s="121"/>
      <c r="D21" s="158"/>
      <c r="E21" s="121"/>
      <c r="K21" s="151">
        <f>IFERROR(__xludf.DUMMYFUNCTION("""COMPUTED_VALUE"""),46160.0)</f>
        <v>46160</v>
      </c>
      <c r="L21" s="152">
        <f t="shared" si="1"/>
        <v>46166</v>
      </c>
      <c r="M21" s="162"/>
      <c r="N21" s="158"/>
      <c r="O21" s="215"/>
      <c r="P21" s="164"/>
      <c r="Q21" s="165"/>
      <c r="R21" s="165"/>
      <c r="S21" s="166"/>
      <c r="T21" s="158"/>
      <c r="U21" s="158"/>
      <c r="V21" s="158"/>
      <c r="W21" s="158"/>
      <c r="X21" s="158"/>
      <c r="Y21" s="158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</row>
    <row r="22">
      <c r="A22" s="121"/>
      <c r="B22" s="201"/>
      <c r="C22" s="121"/>
      <c r="D22" s="158"/>
      <c r="E22" s="121"/>
      <c r="K22" s="151">
        <f>IFERROR(__xludf.DUMMYFUNCTION("""COMPUTED_VALUE"""),46167.0)</f>
        <v>46167</v>
      </c>
      <c r="L22" s="152">
        <f t="shared" si="1"/>
        <v>46173</v>
      </c>
      <c r="M22" s="171"/>
      <c r="N22" s="158"/>
      <c r="O22" s="215"/>
      <c r="P22" s="164"/>
      <c r="Q22" s="165"/>
      <c r="R22" s="165"/>
      <c r="S22" s="166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</row>
    <row r="23">
      <c r="A23" s="216"/>
      <c r="B23" s="216"/>
      <c r="C23" s="216"/>
      <c r="D23" s="216"/>
      <c r="E23" s="216"/>
      <c r="K23" s="151">
        <f>IFERROR(__xludf.DUMMYFUNCTION("""COMPUTED_VALUE"""),46174.0)</f>
        <v>46174</v>
      </c>
      <c r="L23" s="152">
        <f t="shared" si="1"/>
        <v>46180</v>
      </c>
      <c r="M23" s="153" t="s">
        <v>155</v>
      </c>
      <c r="N23" s="209"/>
      <c r="O23" s="205"/>
      <c r="P23" s="164"/>
      <c r="Q23" s="165"/>
      <c r="R23" s="165"/>
      <c r="S23" s="16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</row>
    <row r="24">
      <c r="A24" s="216"/>
      <c r="B24" s="216"/>
      <c r="C24" s="216"/>
      <c r="D24" s="216"/>
      <c r="E24" s="216"/>
      <c r="K24" s="151">
        <f>IFERROR(__xludf.DUMMYFUNCTION("""COMPUTED_VALUE"""),46181.0)</f>
        <v>46181</v>
      </c>
      <c r="L24" s="152">
        <f t="shared" si="1"/>
        <v>46187</v>
      </c>
      <c r="M24" s="162"/>
      <c r="N24" s="216"/>
      <c r="O24" s="217"/>
      <c r="P24" s="164"/>
      <c r="Q24" s="165"/>
      <c r="R24" s="165"/>
      <c r="S24" s="16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</row>
    <row r="25">
      <c r="A25" s="216"/>
      <c r="B25" s="216"/>
      <c r="C25" s="216"/>
      <c r="D25" s="216"/>
      <c r="E25" s="216"/>
      <c r="K25" s="151">
        <f>IFERROR(__xludf.DUMMYFUNCTION("""COMPUTED_VALUE"""),46188.0)</f>
        <v>46188</v>
      </c>
      <c r="L25" s="152">
        <f t="shared" si="1"/>
        <v>46194</v>
      </c>
      <c r="M25" s="162"/>
      <c r="N25" s="216"/>
      <c r="O25" s="217"/>
      <c r="P25" s="164"/>
      <c r="Q25" s="165"/>
      <c r="R25" s="165"/>
      <c r="S25" s="16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</row>
    <row r="26">
      <c r="A26" s="216"/>
      <c r="B26" s="216"/>
      <c r="C26" s="216"/>
      <c r="D26" s="216"/>
      <c r="E26" s="216"/>
      <c r="K26" s="151">
        <f>IFERROR(__xludf.DUMMYFUNCTION("""COMPUTED_VALUE"""),46195.0)</f>
        <v>46195</v>
      </c>
      <c r="L26" s="152">
        <f t="shared" si="1"/>
        <v>46201</v>
      </c>
      <c r="M26" s="171"/>
      <c r="N26" s="216"/>
      <c r="O26" s="217"/>
      <c r="P26" s="164"/>
      <c r="Q26" s="165"/>
      <c r="R26" s="165"/>
      <c r="S26" s="16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</row>
    <row r="27">
      <c r="A27" s="216"/>
      <c r="B27" s="216"/>
      <c r="C27" s="216"/>
      <c r="D27" s="216"/>
      <c r="E27" s="216"/>
      <c r="K27" s="151">
        <f>IFERROR(__xludf.DUMMYFUNCTION("""COMPUTED_VALUE"""),46202.0)</f>
        <v>46202</v>
      </c>
      <c r="L27" s="152">
        <f t="shared" si="1"/>
        <v>46208</v>
      </c>
      <c r="M27" s="153" t="s">
        <v>156</v>
      </c>
      <c r="N27" s="216"/>
      <c r="O27" s="217"/>
      <c r="P27" s="164"/>
      <c r="Q27" s="165"/>
      <c r="R27" s="165"/>
      <c r="S27" s="16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</row>
    <row r="28">
      <c r="A28" s="158"/>
      <c r="B28" s="158"/>
      <c r="C28" s="216"/>
      <c r="D28" s="216"/>
      <c r="E28" s="216"/>
      <c r="K28" s="151">
        <f>IFERROR(__xludf.DUMMYFUNCTION("""COMPUTED_VALUE"""),46209.0)</f>
        <v>46209</v>
      </c>
      <c r="L28" s="152">
        <f t="shared" si="1"/>
        <v>46215</v>
      </c>
      <c r="M28" s="162"/>
      <c r="N28" s="216"/>
      <c r="O28" s="217"/>
      <c r="P28" s="164"/>
      <c r="Q28" s="165"/>
      <c r="R28" s="165"/>
      <c r="S28" s="166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</row>
    <row r="29">
      <c r="A29" s="158"/>
      <c r="B29" s="158"/>
      <c r="C29" s="158"/>
      <c r="D29" s="158"/>
      <c r="E29" s="158"/>
      <c r="K29" s="151">
        <f>IFERROR(__xludf.DUMMYFUNCTION("""COMPUTED_VALUE"""),46216.0)</f>
        <v>46216</v>
      </c>
      <c r="L29" s="152">
        <f t="shared" si="1"/>
        <v>46222</v>
      </c>
      <c r="M29" s="162"/>
      <c r="N29" s="158"/>
      <c r="O29" s="215"/>
      <c r="P29" s="164"/>
      <c r="Q29" s="165"/>
      <c r="R29" s="165"/>
      <c r="S29" s="166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</row>
    <row r="30">
      <c r="A30" s="158"/>
      <c r="B30" s="158"/>
      <c r="C30" s="158"/>
      <c r="D30" s="158"/>
      <c r="E30" s="158"/>
      <c r="K30" s="151">
        <f>IFERROR(__xludf.DUMMYFUNCTION("""COMPUTED_VALUE"""),46223.0)</f>
        <v>46223</v>
      </c>
      <c r="L30" s="152">
        <f t="shared" si="1"/>
        <v>46229</v>
      </c>
      <c r="M30" s="162"/>
      <c r="N30" s="158"/>
      <c r="O30" s="215"/>
      <c r="P30" s="164"/>
      <c r="Q30" s="165"/>
      <c r="R30" s="165"/>
      <c r="S30" s="16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</row>
    <row r="31">
      <c r="A31" s="158"/>
      <c r="B31" s="158"/>
      <c r="C31" s="158"/>
      <c r="D31" s="158"/>
      <c r="E31" s="158"/>
      <c r="K31" s="151">
        <f>IFERROR(__xludf.DUMMYFUNCTION("""COMPUTED_VALUE"""),46230.0)</f>
        <v>46230</v>
      </c>
      <c r="L31" s="152">
        <f t="shared" si="1"/>
        <v>46236</v>
      </c>
      <c r="M31" s="171"/>
      <c r="N31" s="158"/>
      <c r="O31" s="215"/>
      <c r="P31" s="164"/>
      <c r="Q31" s="165"/>
      <c r="R31" s="165"/>
      <c r="S31" s="166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</row>
    <row r="32">
      <c r="A32" s="158"/>
      <c r="B32" s="158"/>
      <c r="C32" s="158"/>
      <c r="D32" s="158"/>
      <c r="E32" s="158"/>
      <c r="K32" s="151">
        <f>IFERROR(__xludf.DUMMYFUNCTION("""COMPUTED_VALUE"""),46237.0)</f>
        <v>46237</v>
      </c>
      <c r="L32" s="152">
        <f t="shared" si="1"/>
        <v>46243</v>
      </c>
      <c r="M32" s="221" t="s">
        <v>157</v>
      </c>
      <c r="N32" s="163"/>
      <c r="O32" s="133"/>
      <c r="P32" s="222"/>
      <c r="Q32" s="223"/>
      <c r="R32" s="223"/>
      <c r="S32" s="224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</row>
    <row r="33">
      <c r="A33" s="158"/>
      <c r="B33" s="158"/>
      <c r="C33" s="158"/>
      <c r="D33" s="158"/>
      <c r="E33" s="158"/>
      <c r="K33" s="151">
        <f>IFERROR(__xludf.DUMMYFUNCTION("""COMPUTED_VALUE"""),46244.0)</f>
        <v>46244</v>
      </c>
      <c r="L33" s="152">
        <f t="shared" si="1"/>
        <v>46250</v>
      </c>
      <c r="M33" s="225"/>
      <c r="N33" s="163"/>
      <c r="O33" s="133"/>
      <c r="P33" s="164"/>
      <c r="Q33" s="226"/>
      <c r="R33" s="226"/>
      <c r="S33" s="227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</row>
    <row r="34">
      <c r="A34" s="158"/>
      <c r="B34" s="158"/>
      <c r="C34" s="158"/>
      <c r="D34" s="158"/>
      <c r="E34" s="158"/>
      <c r="K34" s="151">
        <f>IFERROR(__xludf.DUMMYFUNCTION("""COMPUTED_VALUE"""),46251.0)</f>
        <v>46251</v>
      </c>
      <c r="L34" s="152">
        <f t="shared" si="1"/>
        <v>46257</v>
      </c>
      <c r="M34" s="228"/>
      <c r="N34" s="163"/>
      <c r="O34" s="133"/>
      <c r="P34" s="164"/>
      <c r="Q34" s="226"/>
      <c r="R34" s="226"/>
      <c r="S34" s="227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</row>
    <row r="35">
      <c r="A35" s="158"/>
      <c r="B35" s="158"/>
      <c r="C35" s="158"/>
      <c r="D35" s="158"/>
      <c r="E35" s="158"/>
      <c r="K35" s="151">
        <f>IFERROR(__xludf.DUMMYFUNCTION("""COMPUTED_VALUE"""),46258.0)</f>
        <v>46258</v>
      </c>
      <c r="L35" s="152">
        <f t="shared" si="1"/>
        <v>46264</v>
      </c>
      <c r="M35" s="221" t="s">
        <v>158</v>
      </c>
      <c r="N35" s="163"/>
      <c r="O35" s="133"/>
      <c r="P35" s="164"/>
      <c r="Q35" s="226"/>
      <c r="R35" s="226"/>
      <c r="S35" s="227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</row>
    <row r="36">
      <c r="A36" s="158"/>
      <c r="B36" s="158"/>
      <c r="C36" s="158"/>
      <c r="D36" s="158"/>
      <c r="E36" s="158"/>
      <c r="K36" s="151">
        <f>IFERROR(__xludf.DUMMYFUNCTION("""COMPUTED_VALUE"""),46265.0)</f>
        <v>46265</v>
      </c>
      <c r="L36" s="152">
        <f t="shared" si="1"/>
        <v>46271</v>
      </c>
      <c r="M36" s="225"/>
      <c r="N36" s="163"/>
      <c r="O36" s="133"/>
      <c r="P36" s="164"/>
      <c r="Q36" s="226"/>
      <c r="R36" s="226"/>
      <c r="S36" s="227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</row>
    <row r="37">
      <c r="A37" s="158"/>
      <c r="B37" s="158"/>
      <c r="C37" s="158"/>
      <c r="D37" s="158"/>
      <c r="E37" s="158"/>
      <c r="K37" s="151">
        <f>IFERROR(__xludf.DUMMYFUNCTION("""COMPUTED_VALUE"""),46272.0)</f>
        <v>46272</v>
      </c>
      <c r="L37" s="152">
        <f t="shared" si="1"/>
        <v>46278</v>
      </c>
      <c r="M37" s="225"/>
      <c r="N37" s="163"/>
      <c r="O37" s="133"/>
      <c r="P37" s="164"/>
      <c r="Q37" s="226"/>
      <c r="R37" s="226"/>
      <c r="S37" s="227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</row>
    <row r="38">
      <c r="A38" s="158"/>
      <c r="B38" s="158"/>
      <c r="C38" s="158"/>
      <c r="D38" s="158"/>
      <c r="E38" s="158"/>
      <c r="K38" s="151">
        <f>IFERROR(__xludf.DUMMYFUNCTION("""COMPUTED_VALUE"""),46279.0)</f>
        <v>46279</v>
      </c>
      <c r="L38" s="152">
        <f t="shared" si="1"/>
        <v>46285</v>
      </c>
      <c r="M38" s="225"/>
      <c r="N38" s="163"/>
      <c r="O38" s="133"/>
      <c r="P38" s="164"/>
      <c r="Q38" s="226"/>
      <c r="R38" s="226"/>
      <c r="S38" s="227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</row>
    <row r="39">
      <c r="A39" s="158"/>
      <c r="B39" s="158"/>
      <c r="C39" s="158"/>
      <c r="D39" s="158"/>
      <c r="E39" s="158"/>
      <c r="K39" s="151">
        <f>IFERROR(__xludf.DUMMYFUNCTION("""COMPUTED_VALUE"""),46286.0)</f>
        <v>46286</v>
      </c>
      <c r="L39" s="152">
        <f t="shared" si="1"/>
        <v>46292</v>
      </c>
      <c r="M39" s="228"/>
      <c r="N39" s="230" t="s">
        <v>151</v>
      </c>
      <c r="O39" s="133"/>
      <c r="P39" s="164"/>
      <c r="Q39" s="226"/>
      <c r="R39" s="226"/>
      <c r="S39" s="227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</row>
    <row r="40">
      <c r="A40" s="158"/>
      <c r="B40" s="158"/>
      <c r="C40" s="158"/>
      <c r="D40" s="158"/>
      <c r="E40" s="158"/>
      <c r="K40" s="151">
        <f>IFERROR(__xludf.DUMMYFUNCTION("""COMPUTED_VALUE"""),46293.0)</f>
        <v>46293</v>
      </c>
      <c r="L40" s="152">
        <f t="shared" si="1"/>
        <v>46299</v>
      </c>
      <c r="M40" s="221" t="s">
        <v>159</v>
      </c>
      <c r="N40" s="162"/>
      <c r="O40" s="133"/>
      <c r="P40" s="231"/>
      <c r="Q40" s="232"/>
      <c r="R40" s="232"/>
      <c r="S40" s="233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</row>
    <row r="41">
      <c r="A41" s="158"/>
      <c r="B41" s="158"/>
      <c r="C41" s="158"/>
      <c r="D41" s="158"/>
      <c r="E41" s="158"/>
      <c r="K41" s="151">
        <f>IFERROR(__xludf.DUMMYFUNCTION("""COMPUTED_VALUE"""),46300.0)</f>
        <v>46300</v>
      </c>
      <c r="L41" s="152">
        <f t="shared" si="1"/>
        <v>46306</v>
      </c>
      <c r="M41" s="225"/>
      <c r="N41" s="162"/>
      <c r="O41" s="133"/>
      <c r="P41" s="231"/>
      <c r="Q41" s="232"/>
      <c r="R41" s="232"/>
      <c r="S41" s="233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</row>
    <row r="42">
      <c r="A42" s="158"/>
      <c r="B42" s="158"/>
      <c r="C42" s="158"/>
      <c r="D42" s="158"/>
      <c r="E42" s="158"/>
      <c r="K42" s="151">
        <f>IFERROR(__xludf.DUMMYFUNCTION("""COMPUTED_VALUE"""),46307.0)</f>
        <v>46307</v>
      </c>
      <c r="L42" s="152">
        <f t="shared" si="1"/>
        <v>46313</v>
      </c>
      <c r="M42" s="225"/>
      <c r="N42" s="162"/>
      <c r="O42" s="133"/>
      <c r="P42" s="231"/>
      <c r="Q42" s="232"/>
      <c r="R42" s="232"/>
      <c r="S42" s="233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</row>
    <row r="43">
      <c r="A43" s="158"/>
      <c r="B43" s="158"/>
      <c r="C43" s="158"/>
      <c r="D43" s="158"/>
      <c r="E43" s="158"/>
      <c r="K43" s="151">
        <f>IFERROR(__xludf.DUMMYFUNCTION("""COMPUTED_VALUE"""),46314.0)</f>
        <v>46314</v>
      </c>
      <c r="L43" s="152">
        <f t="shared" si="1"/>
        <v>46320</v>
      </c>
      <c r="M43" s="225"/>
      <c r="N43" s="235"/>
      <c r="O43" s="133"/>
      <c r="P43" s="231"/>
      <c r="Q43" s="232"/>
      <c r="R43" s="232"/>
      <c r="S43" s="233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</row>
    <row r="44">
      <c r="A44" s="158"/>
      <c r="B44" s="158"/>
      <c r="C44" s="158"/>
      <c r="D44" s="158"/>
      <c r="E44" s="158"/>
      <c r="K44" s="151">
        <f>IFERROR(__xludf.DUMMYFUNCTION("""COMPUTED_VALUE"""),46321.0)</f>
        <v>46321</v>
      </c>
      <c r="L44" s="152">
        <f t="shared" si="1"/>
        <v>46327</v>
      </c>
      <c r="M44" s="228"/>
      <c r="N44" s="163"/>
      <c r="O44" s="133"/>
      <c r="P44" s="164"/>
      <c r="Q44" s="226"/>
      <c r="R44" s="226"/>
      <c r="S44" s="227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</row>
    <row r="45">
      <c r="A45" s="158"/>
      <c r="B45" s="158"/>
      <c r="C45" s="158"/>
      <c r="D45" s="158"/>
      <c r="E45" s="158"/>
      <c r="K45" s="151">
        <f>IFERROR(__xludf.DUMMYFUNCTION("""COMPUTED_VALUE"""),46328.0)</f>
        <v>46328</v>
      </c>
      <c r="L45" s="152">
        <f t="shared" si="1"/>
        <v>46334</v>
      </c>
      <c r="M45" s="236" t="s">
        <v>160</v>
      </c>
      <c r="N45" s="163"/>
      <c r="O45" s="133"/>
      <c r="P45" s="164"/>
      <c r="Q45" s="226"/>
      <c r="R45" s="226"/>
      <c r="S45" s="227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</row>
    <row r="46">
      <c r="A46" s="158"/>
      <c r="B46" s="158"/>
      <c r="C46" s="158"/>
      <c r="D46" s="158"/>
      <c r="E46" s="158"/>
      <c r="K46" s="151">
        <f>IFERROR(__xludf.DUMMYFUNCTION("""COMPUTED_VALUE"""),46335.0)</f>
        <v>46335</v>
      </c>
      <c r="L46" s="152">
        <f t="shared" si="1"/>
        <v>46341</v>
      </c>
      <c r="M46" s="225"/>
      <c r="N46" s="163"/>
      <c r="O46" s="133"/>
      <c r="P46" s="164"/>
      <c r="Q46" s="226"/>
      <c r="R46" s="226"/>
      <c r="S46" s="227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</row>
    <row r="47">
      <c r="A47" s="158"/>
      <c r="B47" s="158"/>
      <c r="C47" s="158"/>
      <c r="D47" s="158"/>
      <c r="E47" s="158"/>
      <c r="K47" s="151">
        <f>IFERROR(__xludf.DUMMYFUNCTION("""COMPUTED_VALUE"""),46342.0)</f>
        <v>46342</v>
      </c>
      <c r="L47" s="152">
        <f t="shared" si="1"/>
        <v>46348</v>
      </c>
      <c r="M47" s="225"/>
      <c r="N47" s="163"/>
      <c r="O47" s="133"/>
      <c r="P47" s="164"/>
      <c r="Q47" s="226"/>
      <c r="R47" s="226"/>
      <c r="S47" s="227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</row>
    <row r="48">
      <c r="A48" s="158"/>
      <c r="B48" s="158"/>
      <c r="C48" s="158"/>
      <c r="D48" s="158"/>
      <c r="E48" s="158"/>
      <c r="K48" s="151">
        <f>IFERROR(__xludf.DUMMYFUNCTION("""COMPUTED_VALUE"""),46349.0)</f>
        <v>46349</v>
      </c>
      <c r="L48" s="152">
        <f t="shared" si="1"/>
        <v>46355</v>
      </c>
      <c r="M48" s="228"/>
      <c r="N48" s="163"/>
      <c r="O48" s="237"/>
      <c r="P48" s="164"/>
      <c r="Q48" s="226"/>
      <c r="R48" s="226"/>
      <c r="S48" s="227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</row>
    <row r="49">
      <c r="A49" s="158"/>
      <c r="B49" s="158"/>
      <c r="C49" s="158"/>
      <c r="D49" s="158"/>
      <c r="E49" s="158"/>
      <c r="K49" s="151">
        <f>IFERROR(__xludf.DUMMYFUNCTION("""COMPUTED_VALUE"""),46356.0)</f>
        <v>46356</v>
      </c>
      <c r="L49" s="152">
        <f t="shared" si="1"/>
        <v>46362</v>
      </c>
      <c r="M49" s="163" t="s">
        <v>161</v>
      </c>
      <c r="N49" s="238"/>
      <c r="O49" s="239"/>
      <c r="P49" s="240"/>
      <c r="Q49" s="241"/>
      <c r="R49" s="241"/>
      <c r="S49" s="242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</row>
    <row r="50">
      <c r="A50" s="158"/>
      <c r="B50" s="158"/>
      <c r="C50" s="158"/>
      <c r="D50" s="158"/>
      <c r="E50" s="158"/>
      <c r="K50" s="151">
        <f>IFERROR(__xludf.DUMMYFUNCTION("""COMPUTED_VALUE"""),46363.0)</f>
        <v>46363</v>
      </c>
      <c r="L50" s="152">
        <f t="shared" si="1"/>
        <v>46369</v>
      </c>
      <c r="M50" s="162"/>
      <c r="N50" s="238"/>
      <c r="O50" s="239"/>
      <c r="P50" s="240"/>
      <c r="Q50" s="241"/>
      <c r="R50" s="241"/>
      <c r="S50" s="242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</row>
    <row r="51">
      <c r="A51" s="158"/>
      <c r="B51" s="158"/>
      <c r="C51" s="158"/>
      <c r="D51" s="158"/>
      <c r="E51" s="158"/>
      <c r="K51" s="151">
        <f>IFERROR(__xludf.DUMMYFUNCTION("""COMPUTED_VALUE"""),46370.0)</f>
        <v>46370</v>
      </c>
      <c r="L51" s="152">
        <f t="shared" si="1"/>
        <v>46376</v>
      </c>
      <c r="M51" s="162"/>
      <c r="N51" s="238"/>
      <c r="O51" s="239"/>
      <c r="P51" s="240"/>
      <c r="Q51" s="241"/>
      <c r="R51" s="241"/>
      <c r="S51" s="242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</row>
    <row r="52">
      <c r="A52" s="158"/>
      <c r="B52" s="158"/>
      <c r="C52" s="158"/>
      <c r="D52" s="158"/>
      <c r="E52" s="158"/>
      <c r="K52" s="151">
        <f>IFERROR(__xludf.DUMMYFUNCTION("""COMPUTED_VALUE"""),46377.0)</f>
        <v>46377</v>
      </c>
      <c r="L52" s="152">
        <f t="shared" si="1"/>
        <v>46383</v>
      </c>
      <c r="M52" s="162"/>
      <c r="N52" s="238"/>
      <c r="O52" s="239"/>
      <c r="P52" s="240"/>
      <c r="Q52" s="241"/>
      <c r="R52" s="241"/>
      <c r="S52" s="242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</row>
    <row r="53">
      <c r="A53" s="158"/>
      <c r="B53" s="158"/>
      <c r="C53" s="158"/>
      <c r="D53" s="158"/>
      <c r="E53" s="158"/>
      <c r="K53" s="243">
        <f>IFERROR(__xludf.DUMMYFUNCTION("""COMPUTED_VALUE"""),46384.0)</f>
        <v>46384</v>
      </c>
      <c r="L53" s="244">
        <f t="shared" si="1"/>
        <v>46390</v>
      </c>
      <c r="M53" s="171"/>
      <c r="N53" s="245"/>
      <c r="O53" s="239"/>
      <c r="P53" s="246"/>
      <c r="Q53" s="247"/>
      <c r="R53" s="247"/>
      <c r="S53" s="24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</row>
    <row r="54">
      <c r="A54" s="158"/>
      <c r="B54" s="158"/>
      <c r="C54" s="158"/>
      <c r="D54" s="158"/>
      <c r="E54" s="158"/>
      <c r="O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>
      <c r="A55" s="158"/>
      <c r="B55" s="158"/>
      <c r="C55" s="158"/>
      <c r="D55" s="158"/>
      <c r="E55" s="158"/>
      <c r="O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</row>
    <row r="56">
      <c r="A56" s="158"/>
      <c r="B56" s="158"/>
      <c r="C56" s="158"/>
      <c r="D56" s="158"/>
      <c r="E56" s="158"/>
      <c r="O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</row>
    <row r="57">
      <c r="A57" s="158"/>
      <c r="B57" s="158"/>
      <c r="C57" s="158"/>
      <c r="D57" s="158"/>
      <c r="E57" s="158"/>
      <c r="O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>
      <c r="A58" s="158"/>
      <c r="B58" s="158"/>
      <c r="C58" s="158"/>
      <c r="D58" s="158"/>
      <c r="E58" s="158"/>
      <c r="O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>
      <c r="A59" s="158"/>
      <c r="B59" s="158"/>
      <c r="C59" s="158"/>
      <c r="D59" s="158"/>
      <c r="E59" s="158"/>
      <c r="O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>
      <c r="A60" s="158"/>
      <c r="B60" s="158"/>
      <c r="C60" s="158"/>
      <c r="D60" s="158"/>
      <c r="E60" s="158"/>
      <c r="O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>
      <c r="A61" s="158"/>
      <c r="B61" s="158"/>
      <c r="C61" s="158"/>
      <c r="D61" s="158"/>
      <c r="E61" s="158"/>
      <c r="O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>
      <c r="A62" s="158"/>
      <c r="B62" s="158"/>
      <c r="C62" s="158"/>
      <c r="D62" s="158"/>
      <c r="E62" s="158"/>
      <c r="O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>
      <c r="A63" s="158"/>
      <c r="B63" s="158"/>
      <c r="C63" s="158"/>
      <c r="D63" s="158"/>
      <c r="E63" s="158"/>
      <c r="O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>
      <c r="A64" s="158"/>
      <c r="B64" s="158"/>
      <c r="C64" s="158"/>
      <c r="D64" s="158"/>
      <c r="E64" s="158"/>
      <c r="O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>
      <c r="A65" s="158"/>
      <c r="B65" s="158"/>
      <c r="C65" s="158"/>
      <c r="D65" s="158"/>
      <c r="E65" s="158"/>
      <c r="O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>
      <c r="A66" s="158"/>
      <c r="B66" s="158"/>
      <c r="C66" s="158"/>
      <c r="D66" s="158"/>
      <c r="E66" s="158"/>
      <c r="O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>
      <c r="A67" s="158"/>
      <c r="B67" s="158"/>
      <c r="C67" s="158"/>
      <c r="D67" s="158"/>
      <c r="E67" s="158"/>
      <c r="O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>
      <c r="A68" s="158"/>
      <c r="B68" s="158"/>
      <c r="C68" s="158"/>
      <c r="D68" s="158"/>
      <c r="E68" s="158"/>
      <c r="O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</row>
    <row r="896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</row>
    <row r="897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</row>
    <row r="898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</row>
    <row r="899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</row>
    <row r="90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</row>
    <row r="90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</row>
    <row r="902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</row>
    <row r="90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</row>
    <row r="904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</row>
    <row r="905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</row>
    <row r="906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</row>
    <row r="907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</row>
    <row r="908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</row>
    <row r="909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</row>
    <row r="91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</row>
    <row r="91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</row>
    <row r="912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</row>
    <row r="9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</row>
    <row r="914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</row>
    <row r="915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</row>
    <row r="916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</row>
    <row r="917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</row>
    <row r="918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</row>
    <row r="919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</row>
    <row r="92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</row>
    <row r="92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</row>
    <row r="922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</row>
    <row r="92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</row>
    <row r="924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</row>
    <row r="925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</row>
    <row r="926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</row>
    <row r="927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</row>
    <row r="928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</row>
    <row r="929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</row>
    <row r="93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158"/>
      <c r="AJ930" s="158"/>
      <c r="AK930" s="158"/>
      <c r="AL930" s="158"/>
    </row>
    <row r="93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</row>
    <row r="932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</row>
    <row r="93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</row>
    <row r="934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</row>
    <row r="935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</row>
    <row r="936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158"/>
      <c r="AJ936" s="158"/>
      <c r="AK936" s="158"/>
      <c r="AL936" s="158"/>
    </row>
    <row r="937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</row>
    <row r="938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158"/>
      <c r="AJ938" s="158"/>
      <c r="AK938" s="158"/>
      <c r="AL938" s="158"/>
    </row>
    <row r="939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</row>
    <row r="94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158"/>
      <c r="AJ940" s="158"/>
      <c r="AK940" s="158"/>
      <c r="AL940" s="158"/>
    </row>
    <row r="94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</row>
    <row r="942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158"/>
      <c r="AJ942" s="158"/>
      <c r="AK942" s="158"/>
      <c r="AL942" s="158"/>
    </row>
    <row r="94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</row>
    <row r="944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</row>
    <row r="945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</row>
    <row r="946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</row>
    <row r="947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</row>
    <row r="948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</row>
    <row r="949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</row>
    <row r="95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</row>
    <row r="95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</row>
    <row r="952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</row>
    <row r="95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</row>
    <row r="954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</row>
    <row r="955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</row>
    <row r="956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</row>
    <row r="957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</row>
    <row r="958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</row>
    <row r="959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</row>
    <row r="9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</row>
    <row r="96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</row>
    <row r="962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</row>
    <row r="96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</row>
    <row r="964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</row>
    <row r="965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</row>
    <row r="966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</row>
    <row r="967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</row>
    <row r="968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</row>
    <row r="969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</row>
    <row r="97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</row>
    <row r="97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</row>
    <row r="972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</row>
    <row r="97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</row>
    <row r="974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</row>
    <row r="975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</row>
    <row r="976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</row>
    <row r="977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</row>
    <row r="978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</row>
    <row r="979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</row>
    <row r="98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</row>
    <row r="98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</row>
    <row r="982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</row>
    <row r="98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</row>
    <row r="984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</row>
    <row r="985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</row>
    <row r="986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</row>
    <row r="987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</row>
    <row r="988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</row>
    <row r="989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</row>
    <row r="99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</row>
    <row r="99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</row>
    <row r="992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</row>
    <row r="99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</row>
    <row r="994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</row>
    <row r="995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</row>
    <row r="996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</row>
    <row r="997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</row>
    <row r="998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</row>
    <row r="999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</row>
  </sheetData>
  <mergeCells count="31">
    <mergeCell ref="F7:H7"/>
    <mergeCell ref="F8:H8"/>
    <mergeCell ref="F9:H9"/>
    <mergeCell ref="F11:I11"/>
    <mergeCell ref="F12:H12"/>
    <mergeCell ref="F13:H13"/>
    <mergeCell ref="F1:I1"/>
    <mergeCell ref="K1:L1"/>
    <mergeCell ref="F2:H2"/>
    <mergeCell ref="F3:H3"/>
    <mergeCell ref="F4:H4"/>
    <mergeCell ref="F6:I6"/>
    <mergeCell ref="J6:J14"/>
    <mergeCell ref="F14:H14"/>
    <mergeCell ref="M32:M34"/>
    <mergeCell ref="M35:M39"/>
    <mergeCell ref="N39:N43"/>
    <mergeCell ref="P39:P43"/>
    <mergeCell ref="Q39:Q43"/>
    <mergeCell ref="R39:R43"/>
    <mergeCell ref="S39:S43"/>
    <mergeCell ref="M40:M44"/>
    <mergeCell ref="M45:M48"/>
    <mergeCell ref="M49:M53"/>
    <mergeCell ref="M2:M5"/>
    <mergeCell ref="M6:M9"/>
    <mergeCell ref="M10:M13"/>
    <mergeCell ref="M14:M18"/>
    <mergeCell ref="M19:M22"/>
    <mergeCell ref="M23:M26"/>
    <mergeCell ref="M27:M31"/>
  </mergeCells>
  <conditionalFormatting sqref="I2">
    <cfRule type="notContainsBlanks" dxfId="0" priority="1">
      <formula>LEN(TRIM(I2))&gt;0</formula>
    </cfRule>
  </conditionalFormatting>
  <conditionalFormatting sqref="J5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I3">
      <formula1>"A,B,C"</formula1>
    </dataValidation>
    <dataValidation type="list" allowBlank="1" showErrorMessage="1" sqref="I2">
      <formula1>"5,4,3,2"</formula1>
    </dataValidation>
    <dataValidation type="list" allowBlank="1" showErrorMessage="1" sqref="I4">
      <formula1>"3,4,5"</formula1>
    </dataValidation>
    <dataValidation type="decimal" allowBlank="1" showDropDown="1" showErrorMessage="1" sqref="I7 I12">
      <formula1>60.0</formula1>
      <formula2>80.0</formula2>
    </dataValidation>
  </dataValidations>
  <drawing r:id="rId2"/>
  <legacyDrawing r:id="rId3"/>
</worksheet>
</file>